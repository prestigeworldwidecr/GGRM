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"/>
    </mc:Choice>
  </mc:AlternateContent>
  <bookViews>
    <workbookView xWindow="0" yWindow="0" windowWidth="20490" windowHeight="7755"/>
  </bookViews>
  <sheets>
    <sheet name="exam" sheetId="1" r:id="rId1"/>
  </sheets>
  <externalReferences>
    <externalReference r:id="rId2"/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G3" i="1"/>
  <c r="H3" i="1"/>
  <c r="D3" i="1" s="1"/>
  <c r="G4" i="1"/>
  <c r="H4" i="1"/>
  <c r="D4" i="1" s="1"/>
  <c r="G5" i="1"/>
  <c r="H5" i="1"/>
  <c r="D5" i="1" s="1"/>
  <c r="G6" i="1"/>
  <c r="H6" i="1"/>
  <c r="D6" i="1" s="1"/>
  <c r="G7" i="1"/>
  <c r="H7" i="1"/>
  <c r="D7" i="1" s="1"/>
  <c r="G8" i="1"/>
  <c r="C8" i="1" s="1"/>
  <c r="H8" i="1"/>
  <c r="D8" i="1" s="1"/>
  <c r="G9" i="1"/>
  <c r="C9" i="1" s="1"/>
  <c r="H9" i="1"/>
  <c r="D9" i="1" s="1"/>
  <c r="G10" i="1"/>
  <c r="C10" i="1" s="1"/>
  <c r="H10" i="1"/>
  <c r="D10" i="1" s="1"/>
  <c r="G11" i="1"/>
  <c r="C11" i="1" s="1"/>
  <c r="H11" i="1"/>
  <c r="D11" i="1" s="1"/>
  <c r="G12" i="1"/>
  <c r="C12" i="1" s="1"/>
  <c r="H12" i="1"/>
  <c r="D12" i="1" s="1"/>
  <c r="G13" i="1"/>
  <c r="C13" i="1" s="1"/>
  <c r="H13" i="1"/>
  <c r="D13" i="1" s="1"/>
  <c r="G14" i="1"/>
  <c r="C14" i="1" s="1"/>
  <c r="H14" i="1"/>
  <c r="D14" i="1" s="1"/>
  <c r="G15" i="1"/>
  <c r="C15" i="1" s="1"/>
  <c r="H15" i="1"/>
  <c r="D15" i="1" s="1"/>
  <c r="G16" i="1"/>
  <c r="C16" i="1" s="1"/>
  <c r="H16" i="1"/>
  <c r="D16" i="1" s="1"/>
  <c r="G17" i="1"/>
  <c r="C17" i="1" s="1"/>
  <c r="H17" i="1"/>
  <c r="D17" i="1" s="1"/>
  <c r="G18" i="1"/>
  <c r="C18" i="1" s="1"/>
  <c r="H18" i="1"/>
  <c r="D18" i="1" s="1"/>
  <c r="G19" i="1"/>
  <c r="C19" i="1" s="1"/>
  <c r="H19" i="1"/>
  <c r="D19" i="1" s="1"/>
  <c r="G20" i="1"/>
  <c r="C20" i="1" s="1"/>
  <c r="H20" i="1"/>
  <c r="D20" i="1" s="1"/>
  <c r="G21" i="1"/>
  <c r="C21" i="1" s="1"/>
  <c r="H21" i="1"/>
  <c r="D21" i="1" s="1"/>
  <c r="G22" i="1"/>
  <c r="C22" i="1" s="1"/>
  <c r="H22" i="1"/>
  <c r="D22" i="1" s="1"/>
  <c r="G23" i="1"/>
  <c r="C23" i="1" s="1"/>
  <c r="H23" i="1"/>
  <c r="D23" i="1" s="1"/>
  <c r="G24" i="1"/>
  <c r="C24" i="1" s="1"/>
  <c r="H24" i="1"/>
  <c r="D24" i="1" s="1"/>
  <c r="G25" i="1"/>
  <c r="C25" i="1" s="1"/>
  <c r="H25" i="1"/>
  <c r="D25" i="1" s="1"/>
  <c r="G26" i="1"/>
  <c r="C26" i="1" s="1"/>
  <c r="H26" i="1"/>
  <c r="D26" i="1" s="1"/>
  <c r="C3" i="1"/>
  <c r="C4" i="1"/>
  <c r="C5" i="1"/>
  <c r="C6" i="1"/>
  <c r="C7" i="1"/>
  <c r="H2" i="1"/>
  <c r="D2" i="1" s="1"/>
  <c r="G2" i="1"/>
  <c r="C2" i="1" s="1"/>
  <c r="I2" i="1" l="1"/>
  <c r="I7" i="1"/>
  <c r="I5" i="1"/>
  <c r="I3" i="1"/>
  <c r="I25" i="1"/>
  <c r="I23" i="1"/>
  <c r="I21" i="1"/>
  <c r="I19" i="1"/>
  <c r="I17" i="1"/>
  <c r="I15" i="1"/>
  <c r="I13" i="1"/>
  <c r="I11" i="1"/>
  <c r="I9" i="1"/>
  <c r="I6" i="1"/>
  <c r="I4" i="1"/>
  <c r="I26" i="1"/>
  <c r="I24" i="1"/>
  <c r="I22" i="1"/>
  <c r="I20" i="1"/>
  <c r="I18" i="1"/>
  <c r="I16" i="1"/>
  <c r="I14" i="1"/>
  <c r="I12" i="1"/>
  <c r="I10" i="1"/>
  <c r="I8" i="1"/>
</calcChain>
</file>

<file path=xl/sharedStrings.xml><?xml version="1.0" encoding="utf-8"?>
<sst xmlns="http://schemas.openxmlformats.org/spreadsheetml/2006/main" count="6" uniqueCount="6">
  <si>
    <t>exam_id</t>
  </si>
  <si>
    <t>case_id</t>
  </si>
  <si>
    <t>doctor_id</t>
  </si>
  <si>
    <t>exam_date</t>
  </si>
  <si>
    <t>wpi_rating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</si>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</sst>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2" fillId="0" borderId="0" xfId="0" applyNumberFormat="1" applyFont="1" applyAlignment="1">
      <alignment horizontal="left" vertical="center" wrapText="1" indent="2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o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e"/>
    </sheetNames>
    <sheetDataSet>
      <sheetData sheetId="0">
        <row r="2">
          <cell r="A2">
            <v>1</v>
          </cell>
          <cell r="B2">
            <v>222</v>
          </cell>
        </row>
        <row r="3">
          <cell r="A3">
            <v>2</v>
          </cell>
          <cell r="B3">
            <v>1674</v>
          </cell>
        </row>
        <row r="4">
          <cell r="A4">
            <v>3</v>
          </cell>
          <cell r="B4">
            <v>638</v>
          </cell>
        </row>
        <row r="5">
          <cell r="A5">
            <v>4</v>
          </cell>
          <cell r="B5">
            <v>804</v>
          </cell>
        </row>
        <row r="6">
          <cell r="A6">
            <v>5</v>
          </cell>
          <cell r="B6">
            <v>1896</v>
          </cell>
        </row>
        <row r="7">
          <cell r="A7">
            <v>6</v>
          </cell>
          <cell r="B7">
            <v>548</v>
          </cell>
        </row>
        <row r="8">
          <cell r="A8">
            <v>7</v>
          </cell>
          <cell r="B8">
            <v>1401</v>
          </cell>
        </row>
        <row r="9">
          <cell r="A9">
            <v>8</v>
          </cell>
          <cell r="B9">
            <v>1341</v>
          </cell>
        </row>
        <row r="10">
          <cell r="A10">
            <v>9</v>
          </cell>
          <cell r="B10">
            <v>1992</v>
          </cell>
        </row>
        <row r="11">
          <cell r="A11">
            <v>10</v>
          </cell>
          <cell r="B11">
            <v>346</v>
          </cell>
        </row>
        <row r="12">
          <cell r="A12">
            <v>11</v>
          </cell>
          <cell r="B12">
            <v>1884</v>
          </cell>
        </row>
        <row r="13">
          <cell r="A13">
            <v>12</v>
          </cell>
          <cell r="B13">
            <v>92</v>
          </cell>
        </row>
        <row r="14">
          <cell r="A14">
            <v>13</v>
          </cell>
          <cell r="B14">
            <v>717</v>
          </cell>
        </row>
        <row r="15">
          <cell r="A15">
            <v>14</v>
          </cell>
          <cell r="B15">
            <v>1520</v>
          </cell>
        </row>
        <row r="16">
          <cell r="A16">
            <v>15</v>
          </cell>
          <cell r="B16">
            <v>83</v>
          </cell>
        </row>
        <row r="17">
          <cell r="A17">
            <v>16</v>
          </cell>
          <cell r="B17">
            <v>1900</v>
          </cell>
        </row>
        <row r="18">
          <cell r="A18">
            <v>17</v>
          </cell>
          <cell r="B18">
            <v>1343</v>
          </cell>
        </row>
        <row r="19">
          <cell r="A19">
            <v>18</v>
          </cell>
          <cell r="B19">
            <v>50</v>
          </cell>
        </row>
        <row r="20">
          <cell r="A20">
            <v>19</v>
          </cell>
          <cell r="B20">
            <v>723</v>
          </cell>
        </row>
        <row r="21">
          <cell r="A21">
            <v>20</v>
          </cell>
          <cell r="B21">
            <v>1773</v>
          </cell>
        </row>
        <row r="22">
          <cell r="A22">
            <v>21</v>
          </cell>
          <cell r="B22">
            <v>1079</v>
          </cell>
        </row>
        <row r="23">
          <cell r="A23">
            <v>22</v>
          </cell>
          <cell r="B23">
            <v>123</v>
          </cell>
        </row>
        <row r="24">
          <cell r="A24">
            <v>23</v>
          </cell>
          <cell r="B24">
            <v>1091</v>
          </cell>
        </row>
        <row r="25">
          <cell r="A25">
            <v>24</v>
          </cell>
          <cell r="B25">
            <v>1538</v>
          </cell>
        </row>
        <row r="26">
          <cell r="A26">
            <v>25</v>
          </cell>
          <cell r="B26">
            <v>1362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tor"/>
      <sheetName val="speciality"/>
    </sheetNames>
    <sheetDataSet>
      <sheetData sheetId="0">
        <row r="2">
          <cell r="A2">
            <v>1</v>
          </cell>
          <cell r="B2">
            <v>1907</v>
          </cell>
        </row>
        <row r="3">
          <cell r="A3">
            <v>2</v>
          </cell>
          <cell r="B3">
            <v>1521</v>
          </cell>
        </row>
        <row r="4">
          <cell r="A4">
            <v>3</v>
          </cell>
          <cell r="B4">
            <v>350</v>
          </cell>
        </row>
        <row r="5">
          <cell r="A5">
            <v>4</v>
          </cell>
          <cell r="B5">
            <v>1050</v>
          </cell>
        </row>
        <row r="6">
          <cell r="A6">
            <v>5</v>
          </cell>
          <cell r="B6">
            <v>854</v>
          </cell>
        </row>
        <row r="7">
          <cell r="A7">
            <v>6</v>
          </cell>
          <cell r="B7">
            <v>1698</v>
          </cell>
        </row>
        <row r="8">
          <cell r="A8">
            <v>7</v>
          </cell>
          <cell r="B8">
            <v>230</v>
          </cell>
        </row>
        <row r="9">
          <cell r="A9">
            <v>8</v>
          </cell>
          <cell r="B9">
            <v>1429</v>
          </cell>
        </row>
        <row r="10">
          <cell r="A10">
            <v>9</v>
          </cell>
          <cell r="B10">
            <v>284</v>
          </cell>
        </row>
        <row r="11">
          <cell r="A11">
            <v>10</v>
          </cell>
          <cell r="B11">
            <v>617</v>
          </cell>
        </row>
        <row r="12">
          <cell r="A12">
            <v>11</v>
          </cell>
          <cell r="B12">
            <v>542</v>
          </cell>
        </row>
        <row r="13">
          <cell r="A13">
            <v>12</v>
          </cell>
          <cell r="B13">
            <v>863</v>
          </cell>
        </row>
        <row r="14">
          <cell r="A14">
            <v>13</v>
          </cell>
          <cell r="B14">
            <v>1165</v>
          </cell>
        </row>
        <row r="15">
          <cell r="A15">
            <v>14</v>
          </cell>
          <cell r="B15">
            <v>1625</v>
          </cell>
        </row>
        <row r="16">
          <cell r="A16">
            <v>15</v>
          </cell>
          <cell r="B16">
            <v>470</v>
          </cell>
        </row>
        <row r="17">
          <cell r="A17">
            <v>16</v>
          </cell>
          <cell r="B17">
            <v>1819</v>
          </cell>
        </row>
        <row r="18">
          <cell r="A18">
            <v>17</v>
          </cell>
          <cell r="B18">
            <v>1110</v>
          </cell>
        </row>
        <row r="19">
          <cell r="A19">
            <v>18</v>
          </cell>
          <cell r="B19">
            <v>1169</v>
          </cell>
        </row>
        <row r="20">
          <cell r="A20">
            <v>19</v>
          </cell>
          <cell r="B20">
            <v>1558</v>
          </cell>
        </row>
        <row r="21">
          <cell r="A21">
            <v>20</v>
          </cell>
          <cell r="B21">
            <v>191</v>
          </cell>
        </row>
        <row r="22">
          <cell r="A22">
            <v>21</v>
          </cell>
          <cell r="B22">
            <v>1</v>
          </cell>
        </row>
        <row r="23">
          <cell r="A23">
            <v>22</v>
          </cell>
          <cell r="B23">
            <v>56</v>
          </cell>
        </row>
        <row r="24">
          <cell r="A24">
            <v>23</v>
          </cell>
          <cell r="B24">
            <v>1188</v>
          </cell>
        </row>
        <row r="25">
          <cell r="A25">
            <v>24</v>
          </cell>
          <cell r="B25">
            <v>1953</v>
          </cell>
        </row>
        <row r="26">
          <cell r="A26">
            <v>25</v>
          </cell>
          <cell r="B26">
            <v>377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D1" sqref="D1:D1048576"/>
    </sheetView>
  </sheetViews>
  <sheetFormatPr defaultRowHeight="15" x14ac:dyDescent="0.25"/>
  <cols>
    <col min="5" max="5" width="13.140625" bestFit="1" customWidth="1"/>
    <col min="6" max="6" width="10.42578125" bestFit="1" customWidth="1"/>
  </cols>
  <sheetData>
    <row r="1" spans="1:9" x14ac:dyDescent="0.25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t="str">
        <f>CONCATENATE("(", B1,", ", C1,", ", D1,", ", E1, ", ", F1, ")")</f>
        <v>(exam_id, case_id, doctor_id, exam_date, wpi_rating)</v>
      </c>
    </row>
    <row r="2" spans="1:9" x14ac:dyDescent="0.25">
      <c r="A2">
        <v>1</v>
      </c>
      <c r="B2">
        <v>457</v>
      </c>
      <c r="C2">
        <f ca="1">VLOOKUP(G2,[1]case!$A$2:$B$26,2,FALSE)</f>
        <v>1401</v>
      </c>
      <c r="D2">
        <f ca="1">VLOOKUP(H2,[2]doctor!$A$2:$B$26,2,FALSE)</f>
        <v>377</v>
      </c>
      <c r="E2" s="1">
        <v>45716</v>
      </c>
      <c r="F2">
        <f ca="1">ROUNDUP(RAND()*100,0)</f>
        <v>94</v>
      </c>
      <c r="G2">
        <f ca="1">ROUNDUP(RAND()*25,0)</f>
        <v>7</v>
      </c>
      <c r="H2">
        <f ca="1">ROUNDUP(RAND()*25,0)</f>
        <v>25</v>
      </c>
      <c r="I2" t="str">
        <f ca="1">CONCATENATE("(",B2, ", ", C2,", ", D2, ", ", CHAR(39), TEXT(E2, "yyyy-mm-dd"), CHAR(39), ", ", F2, "),")</f>
        <v>(457, 1401, 377, '2025-02-28', 94),</v>
      </c>
    </row>
    <row r="3" spans="1:9" x14ac:dyDescent="0.25">
      <c r="A3">
        <v>2</v>
      </c>
      <c r="B3">
        <v>847</v>
      </c>
      <c r="C3">
        <f ca="1">VLOOKUP(G3,[1]case!$A$2:$B$26,2,FALSE)</f>
        <v>1992</v>
      </c>
      <c r="D3">
        <f ca="1">VLOOKUP(H3,[2]doctor!$A$2:$B$26,2,FALSE)</f>
        <v>1110</v>
      </c>
      <c r="E3" s="1">
        <v>45721</v>
      </c>
      <c r="F3">
        <f t="shared" ref="F3:F26" ca="1" si="0">ROUNDUP(RAND()*100,0)</f>
        <v>32</v>
      </c>
      <c r="G3">
        <f t="shared" ref="G3:H26" ca="1" si="1">ROUNDUP(RAND()*25,0)</f>
        <v>9</v>
      </c>
      <c r="H3">
        <f t="shared" ca="1" si="1"/>
        <v>17</v>
      </c>
      <c r="I3" t="str">
        <f t="shared" ref="I3:I26" ca="1" si="2">CONCATENATE("(",B3, ", ", C3,", ", D3, ", ", CHAR(39), TEXT(E3, "yyyy-mm-dd"), CHAR(39), ", ", F3, "),")</f>
        <v>(847, 1992, 1110, '2025-03-05', 32),</v>
      </c>
    </row>
    <row r="4" spans="1:9" x14ac:dyDescent="0.25">
      <c r="A4">
        <v>3</v>
      </c>
      <c r="B4">
        <v>235</v>
      </c>
      <c r="C4">
        <f ca="1">VLOOKUP(G4,[1]case!$A$2:$B$26,2,FALSE)</f>
        <v>717</v>
      </c>
      <c r="D4">
        <f ca="1">VLOOKUP(H4,[2]doctor!$A$2:$B$26,2,FALSE)</f>
        <v>350</v>
      </c>
      <c r="E4" s="1">
        <v>45722</v>
      </c>
      <c r="F4">
        <f t="shared" ca="1" si="0"/>
        <v>51</v>
      </c>
      <c r="G4">
        <f t="shared" ca="1" si="1"/>
        <v>13</v>
      </c>
      <c r="H4">
        <f t="shared" ca="1" si="1"/>
        <v>3</v>
      </c>
      <c r="I4" t="str">
        <f t="shared" ca="1" si="2"/>
        <v>(235, 717, 350, '2025-03-06', 51),</v>
      </c>
    </row>
    <row r="5" spans="1:9" x14ac:dyDescent="0.25">
      <c r="A5">
        <v>4</v>
      </c>
      <c r="B5">
        <v>946</v>
      </c>
      <c r="C5">
        <f ca="1">VLOOKUP(G5,[1]case!$A$2:$B$26,2,FALSE)</f>
        <v>1992</v>
      </c>
      <c r="D5">
        <f ca="1">VLOOKUP(H5,[2]doctor!$A$2:$B$26,2,FALSE)</f>
        <v>1698</v>
      </c>
      <c r="E5" s="1">
        <v>45735</v>
      </c>
      <c r="F5">
        <f t="shared" ca="1" si="0"/>
        <v>40</v>
      </c>
      <c r="G5">
        <f t="shared" ca="1" si="1"/>
        <v>9</v>
      </c>
      <c r="H5">
        <f t="shared" ca="1" si="1"/>
        <v>6</v>
      </c>
      <c r="I5" t="str">
        <f t="shared" ca="1" si="2"/>
        <v>(946, 1992, 1698, '2025-03-19', 40),</v>
      </c>
    </row>
    <row r="6" spans="1:9" x14ac:dyDescent="0.25">
      <c r="A6">
        <v>5</v>
      </c>
      <c r="B6">
        <v>1667</v>
      </c>
      <c r="C6">
        <f ca="1">VLOOKUP(G6,[1]case!$A$2:$B$26,2,FALSE)</f>
        <v>1341</v>
      </c>
      <c r="D6">
        <f ca="1">VLOOKUP(H6,[2]doctor!$A$2:$B$26,2,FALSE)</f>
        <v>230</v>
      </c>
      <c r="E6" s="1">
        <v>45747</v>
      </c>
      <c r="F6">
        <f t="shared" ca="1" si="0"/>
        <v>100</v>
      </c>
      <c r="G6">
        <f t="shared" ca="1" si="1"/>
        <v>8</v>
      </c>
      <c r="H6">
        <f t="shared" ca="1" si="1"/>
        <v>7</v>
      </c>
      <c r="I6" t="str">
        <f t="shared" ca="1" si="2"/>
        <v>(1667, 1341, 230, '2025-03-31', 100),</v>
      </c>
    </row>
    <row r="7" spans="1:9" x14ac:dyDescent="0.25">
      <c r="A7">
        <v>6</v>
      </c>
      <c r="B7">
        <v>562</v>
      </c>
      <c r="C7">
        <f ca="1">VLOOKUP(G7,[1]case!$A$2:$B$26,2,FALSE)</f>
        <v>1674</v>
      </c>
      <c r="D7">
        <f ca="1">VLOOKUP(H7,[2]doctor!$A$2:$B$26,2,FALSE)</f>
        <v>542</v>
      </c>
      <c r="E7" s="1">
        <v>45761</v>
      </c>
      <c r="F7">
        <f t="shared" ca="1" si="0"/>
        <v>37</v>
      </c>
      <c r="G7">
        <f t="shared" ca="1" si="1"/>
        <v>2</v>
      </c>
      <c r="H7">
        <f t="shared" ca="1" si="1"/>
        <v>11</v>
      </c>
      <c r="I7" t="str">
        <f t="shared" ca="1" si="2"/>
        <v>(562, 1674, 542, '2025-04-14', 37),</v>
      </c>
    </row>
    <row r="8" spans="1:9" x14ac:dyDescent="0.25">
      <c r="A8">
        <v>7</v>
      </c>
      <c r="B8">
        <v>83</v>
      </c>
      <c r="C8">
        <f ca="1">VLOOKUP(G8,[1]case!$A$2:$B$26,2,FALSE)</f>
        <v>1520</v>
      </c>
      <c r="D8">
        <f ca="1">VLOOKUP(H8,[2]doctor!$A$2:$B$26,2,FALSE)</f>
        <v>1188</v>
      </c>
      <c r="E8" s="1">
        <v>45764</v>
      </c>
      <c r="F8">
        <f t="shared" ca="1" si="0"/>
        <v>62</v>
      </c>
      <c r="G8">
        <f t="shared" ca="1" si="1"/>
        <v>14</v>
      </c>
      <c r="H8">
        <f t="shared" ca="1" si="1"/>
        <v>23</v>
      </c>
      <c r="I8" t="str">
        <f t="shared" ca="1" si="2"/>
        <v>(83, 1520, 1188, '2025-04-17', 62),</v>
      </c>
    </row>
    <row r="9" spans="1:9" x14ac:dyDescent="0.25">
      <c r="A9">
        <v>8</v>
      </c>
      <c r="B9">
        <v>427</v>
      </c>
      <c r="C9">
        <f ca="1">VLOOKUP(G9,[1]case!$A$2:$B$26,2,FALSE)</f>
        <v>346</v>
      </c>
      <c r="D9">
        <f ca="1">VLOOKUP(H9,[2]doctor!$A$2:$B$26,2,FALSE)</f>
        <v>1953</v>
      </c>
      <c r="E9" s="1">
        <v>45803</v>
      </c>
      <c r="F9">
        <f t="shared" ca="1" si="0"/>
        <v>72</v>
      </c>
      <c r="G9">
        <f t="shared" ca="1" si="1"/>
        <v>10</v>
      </c>
      <c r="H9">
        <f t="shared" ca="1" si="1"/>
        <v>24</v>
      </c>
      <c r="I9" t="str">
        <f t="shared" ca="1" si="2"/>
        <v>(427, 346, 1953, '2025-05-26', 72),</v>
      </c>
    </row>
    <row r="10" spans="1:9" x14ac:dyDescent="0.25">
      <c r="A10">
        <v>9</v>
      </c>
      <c r="B10">
        <v>1115</v>
      </c>
      <c r="C10">
        <f ca="1">VLOOKUP(G10,[1]case!$A$2:$B$26,2,FALSE)</f>
        <v>1401</v>
      </c>
      <c r="D10">
        <f ca="1">VLOOKUP(H10,[2]doctor!$A$2:$B$26,2,FALSE)</f>
        <v>377</v>
      </c>
      <c r="E10" s="1">
        <v>45859</v>
      </c>
      <c r="F10">
        <f t="shared" ca="1" si="0"/>
        <v>35</v>
      </c>
      <c r="G10">
        <f t="shared" ca="1" si="1"/>
        <v>7</v>
      </c>
      <c r="H10">
        <f t="shared" ca="1" si="1"/>
        <v>25</v>
      </c>
      <c r="I10" t="str">
        <f t="shared" ca="1" si="2"/>
        <v>(1115, 1401, 377, '2025-07-21', 35),</v>
      </c>
    </row>
    <row r="11" spans="1:9" x14ac:dyDescent="0.25">
      <c r="A11">
        <v>10</v>
      </c>
      <c r="B11">
        <v>1411</v>
      </c>
      <c r="C11">
        <f ca="1">VLOOKUP(G11,[1]case!$A$2:$B$26,2,FALSE)</f>
        <v>222</v>
      </c>
      <c r="D11">
        <f ca="1">VLOOKUP(H11,[2]doctor!$A$2:$B$26,2,FALSE)</f>
        <v>1429</v>
      </c>
      <c r="E11" s="1">
        <v>45868</v>
      </c>
      <c r="F11">
        <f t="shared" ca="1" si="0"/>
        <v>98</v>
      </c>
      <c r="G11">
        <f t="shared" ca="1" si="1"/>
        <v>1</v>
      </c>
      <c r="H11">
        <f t="shared" ca="1" si="1"/>
        <v>8</v>
      </c>
      <c r="I11" t="str">
        <f t="shared" ca="1" si="2"/>
        <v>(1411, 222, 1429, '2025-07-30', 98),</v>
      </c>
    </row>
    <row r="12" spans="1:9" x14ac:dyDescent="0.25">
      <c r="A12">
        <v>11</v>
      </c>
      <c r="B12">
        <v>909</v>
      </c>
      <c r="C12">
        <f ca="1">VLOOKUP(G12,[1]case!$A$2:$B$26,2,FALSE)</f>
        <v>1520</v>
      </c>
      <c r="D12">
        <f ca="1">VLOOKUP(H12,[2]doctor!$A$2:$B$26,2,FALSE)</f>
        <v>377</v>
      </c>
      <c r="E12" s="1">
        <v>45891</v>
      </c>
      <c r="F12">
        <f t="shared" ca="1" si="0"/>
        <v>2</v>
      </c>
      <c r="G12">
        <f t="shared" ca="1" si="1"/>
        <v>14</v>
      </c>
      <c r="H12">
        <f t="shared" ca="1" si="1"/>
        <v>25</v>
      </c>
      <c r="I12" t="str">
        <f t="shared" ca="1" si="2"/>
        <v>(909, 1520, 377, '2025-08-22', 2),</v>
      </c>
    </row>
    <row r="13" spans="1:9" x14ac:dyDescent="0.25">
      <c r="A13">
        <v>12</v>
      </c>
      <c r="B13">
        <v>1463</v>
      </c>
      <c r="C13">
        <f ca="1">VLOOKUP(G13,[1]case!$A$2:$B$26,2,FALSE)</f>
        <v>92</v>
      </c>
      <c r="D13">
        <f ca="1">VLOOKUP(H13,[2]doctor!$A$2:$B$26,2,FALSE)</f>
        <v>1169</v>
      </c>
      <c r="E13" s="1">
        <v>45898</v>
      </c>
      <c r="F13">
        <f t="shared" ca="1" si="0"/>
        <v>100</v>
      </c>
      <c r="G13">
        <f t="shared" ca="1" si="1"/>
        <v>12</v>
      </c>
      <c r="H13">
        <f t="shared" ca="1" si="1"/>
        <v>18</v>
      </c>
      <c r="I13" t="str">
        <f t="shared" ca="1" si="2"/>
        <v>(1463, 92, 1169, '2025-08-29', 100),</v>
      </c>
    </row>
    <row r="14" spans="1:9" x14ac:dyDescent="0.25">
      <c r="A14">
        <v>13</v>
      </c>
      <c r="B14">
        <v>201</v>
      </c>
      <c r="C14">
        <f ca="1">VLOOKUP(G14,[1]case!$A$2:$B$26,2,FALSE)</f>
        <v>346</v>
      </c>
      <c r="D14">
        <f ca="1">VLOOKUP(H14,[2]doctor!$A$2:$B$26,2,FALSE)</f>
        <v>1819</v>
      </c>
      <c r="E14" s="1">
        <v>45944</v>
      </c>
      <c r="F14">
        <f t="shared" ca="1" si="0"/>
        <v>10</v>
      </c>
      <c r="G14">
        <f t="shared" ca="1" si="1"/>
        <v>10</v>
      </c>
      <c r="H14">
        <f t="shared" ca="1" si="1"/>
        <v>16</v>
      </c>
      <c r="I14" t="str">
        <f t="shared" ca="1" si="2"/>
        <v>(201, 346, 1819, '2025-10-14', 10),</v>
      </c>
    </row>
    <row r="15" spans="1:9" x14ac:dyDescent="0.25">
      <c r="A15">
        <v>14</v>
      </c>
      <c r="B15">
        <v>480</v>
      </c>
      <c r="C15">
        <f ca="1">VLOOKUP(G15,[1]case!$A$2:$B$26,2,FALSE)</f>
        <v>50</v>
      </c>
      <c r="D15">
        <f ca="1">VLOOKUP(H15,[2]doctor!$A$2:$B$26,2,FALSE)</f>
        <v>350</v>
      </c>
      <c r="E15" s="1">
        <v>45972</v>
      </c>
      <c r="F15">
        <f t="shared" ca="1" si="0"/>
        <v>37</v>
      </c>
      <c r="G15">
        <f t="shared" ca="1" si="1"/>
        <v>18</v>
      </c>
      <c r="H15">
        <f t="shared" ca="1" si="1"/>
        <v>3</v>
      </c>
      <c r="I15" t="str">
        <f t="shared" ca="1" si="2"/>
        <v>(480, 50, 350, '2025-11-11', 37),</v>
      </c>
    </row>
    <row r="16" spans="1:9" x14ac:dyDescent="0.25">
      <c r="A16">
        <v>15</v>
      </c>
      <c r="B16">
        <v>1291</v>
      </c>
      <c r="C16">
        <f ca="1">VLOOKUP(G16,[1]case!$A$2:$B$26,2,FALSE)</f>
        <v>1992</v>
      </c>
      <c r="D16">
        <f ca="1">VLOOKUP(H16,[2]doctor!$A$2:$B$26,2,FALSE)</f>
        <v>1907</v>
      </c>
      <c r="E16" s="1">
        <v>45975</v>
      </c>
      <c r="F16">
        <f t="shared" ca="1" si="0"/>
        <v>25</v>
      </c>
      <c r="G16">
        <f t="shared" ca="1" si="1"/>
        <v>9</v>
      </c>
      <c r="H16">
        <f t="shared" ca="1" si="1"/>
        <v>1</v>
      </c>
      <c r="I16" t="str">
        <f t="shared" ca="1" si="2"/>
        <v>(1291, 1992, 1907, '2025-11-14', 25),</v>
      </c>
    </row>
    <row r="17" spans="1:9" x14ac:dyDescent="0.25">
      <c r="A17">
        <v>16</v>
      </c>
      <c r="B17">
        <v>1520</v>
      </c>
      <c r="C17">
        <f ca="1">VLOOKUP(G17,[1]case!$A$2:$B$26,2,FALSE)</f>
        <v>123</v>
      </c>
      <c r="D17">
        <f ca="1">VLOOKUP(H17,[2]doctor!$A$2:$B$26,2,FALSE)</f>
        <v>1165</v>
      </c>
      <c r="E17" s="1">
        <v>45999</v>
      </c>
      <c r="F17">
        <f t="shared" ca="1" si="0"/>
        <v>42</v>
      </c>
      <c r="G17">
        <f t="shared" ca="1" si="1"/>
        <v>22</v>
      </c>
      <c r="H17">
        <f t="shared" ca="1" si="1"/>
        <v>13</v>
      </c>
      <c r="I17" t="str">
        <f t="shared" ca="1" si="2"/>
        <v>(1520, 123, 1165, '2025-12-08', 42),</v>
      </c>
    </row>
    <row r="18" spans="1:9" x14ac:dyDescent="0.25">
      <c r="A18">
        <v>17</v>
      </c>
      <c r="B18">
        <v>656</v>
      </c>
      <c r="C18">
        <f ca="1">VLOOKUP(G18,[1]case!$A$2:$B$26,2,FALSE)</f>
        <v>717</v>
      </c>
      <c r="D18">
        <f ca="1">VLOOKUP(H18,[2]doctor!$A$2:$B$26,2,FALSE)</f>
        <v>1558</v>
      </c>
      <c r="E18" s="1">
        <v>46087</v>
      </c>
      <c r="F18">
        <f t="shared" ca="1" si="0"/>
        <v>77</v>
      </c>
      <c r="G18">
        <f t="shared" ca="1" si="1"/>
        <v>13</v>
      </c>
      <c r="H18">
        <f t="shared" ca="1" si="1"/>
        <v>19</v>
      </c>
      <c r="I18" t="str">
        <f t="shared" ca="1" si="2"/>
        <v>(656, 717, 1558, '2026-03-06', 77),</v>
      </c>
    </row>
    <row r="19" spans="1:9" x14ac:dyDescent="0.25">
      <c r="A19">
        <v>18</v>
      </c>
      <c r="B19">
        <v>1914</v>
      </c>
      <c r="C19">
        <f ca="1">VLOOKUP(G19,[1]case!$A$2:$B$26,2,FALSE)</f>
        <v>1341</v>
      </c>
      <c r="D19">
        <f ca="1">VLOOKUP(H19,[2]doctor!$A$2:$B$26,2,FALSE)</f>
        <v>1050</v>
      </c>
      <c r="E19" s="1">
        <v>46106</v>
      </c>
      <c r="F19">
        <f t="shared" ca="1" si="0"/>
        <v>56</v>
      </c>
      <c r="G19">
        <f t="shared" ca="1" si="1"/>
        <v>8</v>
      </c>
      <c r="H19">
        <f t="shared" ca="1" si="1"/>
        <v>4</v>
      </c>
      <c r="I19" t="str">
        <f t="shared" ca="1" si="2"/>
        <v>(1914, 1341, 1050, '2026-03-25', 56),</v>
      </c>
    </row>
    <row r="20" spans="1:9" x14ac:dyDescent="0.25">
      <c r="A20">
        <v>19</v>
      </c>
      <c r="B20">
        <v>627</v>
      </c>
      <c r="C20">
        <f ca="1">VLOOKUP(G20,[1]case!$A$2:$B$26,2,FALSE)</f>
        <v>1992</v>
      </c>
      <c r="D20">
        <f ca="1">VLOOKUP(H20,[2]doctor!$A$2:$B$26,2,FALSE)</f>
        <v>1819</v>
      </c>
      <c r="E20" s="1">
        <v>46112</v>
      </c>
      <c r="F20">
        <f t="shared" ca="1" si="0"/>
        <v>10</v>
      </c>
      <c r="G20">
        <f t="shared" ca="1" si="1"/>
        <v>9</v>
      </c>
      <c r="H20">
        <f t="shared" ca="1" si="1"/>
        <v>16</v>
      </c>
      <c r="I20" t="str">
        <f t="shared" ca="1" si="2"/>
        <v>(627, 1992, 1819, '2026-03-31', 10),</v>
      </c>
    </row>
    <row r="21" spans="1:9" x14ac:dyDescent="0.25">
      <c r="A21">
        <v>20</v>
      </c>
      <c r="B21">
        <v>1501</v>
      </c>
      <c r="C21">
        <f ca="1">VLOOKUP(G21,[1]case!$A$2:$B$26,2,FALSE)</f>
        <v>1896</v>
      </c>
      <c r="D21">
        <f ca="1">VLOOKUP(H21,[2]doctor!$A$2:$B$26,2,FALSE)</f>
        <v>230</v>
      </c>
      <c r="E21" s="1">
        <v>46139</v>
      </c>
      <c r="F21">
        <f t="shared" ca="1" si="0"/>
        <v>15</v>
      </c>
      <c r="G21">
        <f t="shared" ca="1" si="1"/>
        <v>5</v>
      </c>
      <c r="H21">
        <f t="shared" ca="1" si="1"/>
        <v>7</v>
      </c>
      <c r="I21" t="str">
        <f t="shared" ca="1" si="2"/>
        <v>(1501, 1896, 230, '2026-04-27', 15),</v>
      </c>
    </row>
    <row r="22" spans="1:9" x14ac:dyDescent="0.25">
      <c r="A22">
        <v>21</v>
      </c>
      <c r="B22">
        <v>1478</v>
      </c>
      <c r="C22">
        <f ca="1">VLOOKUP(G22,[1]case!$A$2:$B$26,2,FALSE)</f>
        <v>1362</v>
      </c>
      <c r="D22">
        <f ca="1">VLOOKUP(H22,[2]doctor!$A$2:$B$26,2,FALSE)</f>
        <v>1110</v>
      </c>
      <c r="E22" s="1">
        <v>46169</v>
      </c>
      <c r="F22">
        <f t="shared" ca="1" si="0"/>
        <v>33</v>
      </c>
      <c r="G22">
        <f t="shared" ca="1" si="1"/>
        <v>25</v>
      </c>
      <c r="H22">
        <f t="shared" ca="1" si="1"/>
        <v>17</v>
      </c>
      <c r="I22" t="str">
        <f t="shared" ca="1" si="2"/>
        <v>(1478, 1362, 1110, '2026-05-27', 33),</v>
      </c>
    </row>
    <row r="23" spans="1:9" x14ac:dyDescent="0.25">
      <c r="A23">
        <v>22</v>
      </c>
      <c r="B23">
        <v>799</v>
      </c>
      <c r="C23">
        <f ca="1">VLOOKUP(G23,[1]case!$A$2:$B$26,2,FALSE)</f>
        <v>1520</v>
      </c>
      <c r="D23">
        <f ca="1">VLOOKUP(H23,[2]doctor!$A$2:$B$26,2,FALSE)</f>
        <v>284</v>
      </c>
      <c r="E23" s="1">
        <v>46230</v>
      </c>
      <c r="F23">
        <f t="shared" ca="1" si="0"/>
        <v>84</v>
      </c>
      <c r="G23">
        <f t="shared" ca="1" si="1"/>
        <v>14</v>
      </c>
      <c r="H23">
        <f t="shared" ca="1" si="1"/>
        <v>9</v>
      </c>
      <c r="I23" t="str">
        <f t="shared" ca="1" si="2"/>
        <v>(799, 1520, 284, '2026-07-27', 84),</v>
      </c>
    </row>
    <row r="24" spans="1:9" x14ac:dyDescent="0.25">
      <c r="A24">
        <v>23</v>
      </c>
      <c r="B24">
        <v>1508</v>
      </c>
      <c r="C24">
        <f ca="1">VLOOKUP(G24,[1]case!$A$2:$B$26,2,FALSE)</f>
        <v>1091</v>
      </c>
      <c r="D24">
        <f ca="1">VLOOKUP(H24,[2]doctor!$A$2:$B$26,2,FALSE)</f>
        <v>56</v>
      </c>
      <c r="E24" s="1">
        <v>46316</v>
      </c>
      <c r="F24">
        <f t="shared" ca="1" si="0"/>
        <v>72</v>
      </c>
      <c r="G24">
        <f t="shared" ca="1" si="1"/>
        <v>23</v>
      </c>
      <c r="H24">
        <f t="shared" ca="1" si="1"/>
        <v>22</v>
      </c>
      <c r="I24" t="str">
        <f t="shared" ca="1" si="2"/>
        <v>(1508, 1091, 56, '2026-10-21', 72),</v>
      </c>
    </row>
    <row r="25" spans="1:9" x14ac:dyDescent="0.25">
      <c r="A25">
        <v>24</v>
      </c>
      <c r="B25">
        <v>1734</v>
      </c>
      <c r="C25">
        <f ca="1">VLOOKUP(G25,[1]case!$A$2:$B$26,2,FALSE)</f>
        <v>1520</v>
      </c>
      <c r="D25">
        <f ca="1">VLOOKUP(H25,[2]doctor!$A$2:$B$26,2,FALSE)</f>
        <v>1953</v>
      </c>
      <c r="E25" s="1">
        <v>46358</v>
      </c>
      <c r="F25">
        <f t="shared" ca="1" si="0"/>
        <v>79</v>
      </c>
      <c r="G25">
        <f t="shared" ca="1" si="1"/>
        <v>14</v>
      </c>
      <c r="H25">
        <f t="shared" ca="1" si="1"/>
        <v>24</v>
      </c>
      <c r="I25" t="str">
        <f t="shared" ca="1" si="2"/>
        <v>(1734, 1520, 1953, '2026-12-02', 79),</v>
      </c>
    </row>
    <row r="26" spans="1:9" x14ac:dyDescent="0.25">
      <c r="A26">
        <v>25</v>
      </c>
      <c r="B26">
        <v>802</v>
      </c>
      <c r="C26">
        <f ca="1">VLOOKUP(G26,[1]case!$A$2:$B$26,2,FALSE)</f>
        <v>723</v>
      </c>
      <c r="D26">
        <f ca="1">VLOOKUP(H26,[2]doctor!$A$2:$B$26,2,FALSE)</f>
        <v>1165</v>
      </c>
      <c r="E26" s="1">
        <v>46385</v>
      </c>
      <c r="F26">
        <f t="shared" ca="1" si="0"/>
        <v>47</v>
      </c>
      <c r="G26">
        <f t="shared" ca="1" si="1"/>
        <v>19</v>
      </c>
      <c r="H26">
        <f t="shared" ca="1" si="1"/>
        <v>13</v>
      </c>
      <c r="I26" t="str">
        <f t="shared" ca="1" si="2"/>
        <v>(802, 723, 1165, '2026-12-29', 47),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2026-03-18T11:58:48Z</dcterms:created>
  <dcterms:modified xsi:type="dcterms:W3CDTF">2026-03-19T00:31:27Z</dcterms:modified>
</cp:coreProperties>
</file>