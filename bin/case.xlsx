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"/>
    </mc:Choice>
  </mc:AlternateContent>
  <bookViews>
    <workbookView xWindow="0" yWindow="0" windowWidth="20490" windowHeight="7755"/>
  </bookViews>
  <sheets>
    <sheet name="case" sheetId="1" r:id="rId1"/>
  </sheets>
  <externalReferences>
    <externalReference r:id="rId2"/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  <c r="N3" i="1" l="1"/>
  <c r="O3" i="1" s="1"/>
  <c r="D3" i="1" s="1"/>
  <c r="N4" i="1"/>
  <c r="O4" i="1" s="1"/>
  <c r="D4" i="1" s="1"/>
  <c r="N5" i="1"/>
  <c r="O5" i="1" s="1"/>
  <c r="D5" i="1" s="1"/>
  <c r="N6" i="1"/>
  <c r="O6" i="1" s="1"/>
  <c r="D6" i="1" s="1"/>
  <c r="N7" i="1"/>
  <c r="O7" i="1" s="1"/>
  <c r="D7" i="1" s="1"/>
  <c r="N8" i="1"/>
  <c r="O8" i="1" s="1"/>
  <c r="D8" i="1" s="1"/>
  <c r="N9" i="1"/>
  <c r="O9" i="1" s="1"/>
  <c r="D9" i="1" s="1"/>
  <c r="N10" i="1"/>
  <c r="O10" i="1" s="1"/>
  <c r="D10" i="1" s="1"/>
  <c r="N11" i="1"/>
  <c r="O11" i="1" s="1"/>
  <c r="D11" i="1" s="1"/>
  <c r="N12" i="1"/>
  <c r="O12" i="1" s="1"/>
  <c r="D12" i="1" s="1"/>
  <c r="N13" i="1"/>
  <c r="O13" i="1" s="1"/>
  <c r="D13" i="1" s="1"/>
  <c r="N14" i="1"/>
  <c r="O14" i="1" s="1"/>
  <c r="D14" i="1" s="1"/>
  <c r="N15" i="1"/>
  <c r="O15" i="1" s="1"/>
  <c r="D15" i="1" s="1"/>
  <c r="N16" i="1"/>
  <c r="O16" i="1" s="1"/>
  <c r="D16" i="1" s="1"/>
  <c r="N17" i="1"/>
  <c r="O17" i="1" s="1"/>
  <c r="D17" i="1" s="1"/>
  <c r="N18" i="1"/>
  <c r="O18" i="1" s="1"/>
  <c r="D18" i="1" s="1"/>
  <c r="N19" i="1"/>
  <c r="O19" i="1" s="1"/>
  <c r="D19" i="1" s="1"/>
  <c r="N20" i="1"/>
  <c r="O20" i="1" s="1"/>
  <c r="D20" i="1" s="1"/>
  <c r="N21" i="1"/>
  <c r="O21" i="1" s="1"/>
  <c r="D21" i="1" s="1"/>
  <c r="N22" i="1"/>
  <c r="O22" i="1" s="1"/>
  <c r="D22" i="1" s="1"/>
  <c r="N23" i="1"/>
  <c r="O23" i="1" s="1"/>
  <c r="D23" i="1" s="1"/>
  <c r="N24" i="1"/>
  <c r="O24" i="1" s="1"/>
  <c r="D24" i="1" s="1"/>
  <c r="N25" i="1"/>
  <c r="O25" i="1" s="1"/>
  <c r="D25" i="1" s="1"/>
  <c r="N26" i="1"/>
  <c r="O26" i="1" s="1"/>
  <c r="D26" i="1" s="1"/>
  <c r="N2" i="1"/>
  <c r="O2" i="1" s="1"/>
  <c r="D2" i="1" s="1"/>
  <c r="L3" i="1"/>
  <c r="M3" i="1" s="1"/>
  <c r="C3" i="1" s="1"/>
  <c r="L4" i="1"/>
  <c r="M4" i="1" s="1"/>
  <c r="C4" i="1" s="1"/>
  <c r="L5" i="1"/>
  <c r="M5" i="1" s="1"/>
  <c r="C5" i="1" s="1"/>
  <c r="L6" i="1"/>
  <c r="M6" i="1" s="1"/>
  <c r="C6" i="1" s="1"/>
  <c r="L7" i="1"/>
  <c r="M7" i="1" s="1"/>
  <c r="C7" i="1" s="1"/>
  <c r="L8" i="1"/>
  <c r="M8" i="1" s="1"/>
  <c r="C8" i="1" s="1"/>
  <c r="L9" i="1"/>
  <c r="M9" i="1" s="1"/>
  <c r="C9" i="1" s="1"/>
  <c r="L10" i="1"/>
  <c r="M10" i="1" s="1"/>
  <c r="C10" i="1" s="1"/>
  <c r="L11" i="1"/>
  <c r="M11" i="1" s="1"/>
  <c r="C11" i="1" s="1"/>
  <c r="L12" i="1"/>
  <c r="M12" i="1" s="1"/>
  <c r="C12" i="1" s="1"/>
  <c r="L13" i="1"/>
  <c r="M13" i="1" s="1"/>
  <c r="C13" i="1" s="1"/>
  <c r="L14" i="1"/>
  <c r="M14" i="1" s="1"/>
  <c r="C14" i="1" s="1"/>
  <c r="L15" i="1"/>
  <c r="M15" i="1" s="1"/>
  <c r="C15" i="1" s="1"/>
  <c r="L16" i="1"/>
  <c r="M16" i="1" s="1"/>
  <c r="C16" i="1" s="1"/>
  <c r="L17" i="1"/>
  <c r="M17" i="1" s="1"/>
  <c r="C17" i="1" s="1"/>
  <c r="L18" i="1"/>
  <c r="M18" i="1" s="1"/>
  <c r="C18" i="1" s="1"/>
  <c r="L19" i="1"/>
  <c r="M19" i="1" s="1"/>
  <c r="C19" i="1" s="1"/>
  <c r="L20" i="1"/>
  <c r="M20" i="1" s="1"/>
  <c r="C20" i="1" s="1"/>
  <c r="L21" i="1"/>
  <c r="M21" i="1" s="1"/>
  <c r="C21" i="1" s="1"/>
  <c r="L22" i="1"/>
  <c r="M22" i="1" s="1"/>
  <c r="C22" i="1" s="1"/>
  <c r="L23" i="1"/>
  <c r="M23" i="1" s="1"/>
  <c r="C23" i="1" s="1"/>
  <c r="L24" i="1"/>
  <c r="M24" i="1" s="1"/>
  <c r="C24" i="1" s="1"/>
  <c r="L25" i="1"/>
  <c r="M25" i="1" s="1"/>
  <c r="C25" i="1" s="1"/>
  <c r="L26" i="1"/>
  <c r="M26" i="1" s="1"/>
  <c r="C26" i="1" s="1"/>
  <c r="L2" i="1"/>
  <c r="M2" i="1" s="1"/>
  <c r="C2" i="1" s="1"/>
  <c r="J3" i="1"/>
  <c r="K3" i="1"/>
  <c r="J4" i="1"/>
  <c r="E4" i="1" s="1"/>
  <c r="K4" i="1"/>
  <c r="J5" i="1"/>
  <c r="E5" i="1" s="1"/>
  <c r="K5" i="1"/>
  <c r="J6" i="1"/>
  <c r="E6" i="1" s="1"/>
  <c r="K6" i="1"/>
  <c r="J7" i="1"/>
  <c r="E7" i="1" s="1"/>
  <c r="K7" i="1"/>
  <c r="J8" i="1"/>
  <c r="E8" i="1" s="1"/>
  <c r="K8" i="1"/>
  <c r="J9" i="1"/>
  <c r="E9" i="1" s="1"/>
  <c r="K9" i="1"/>
  <c r="J10" i="1"/>
  <c r="E10" i="1" s="1"/>
  <c r="K10" i="1"/>
  <c r="J11" i="1"/>
  <c r="E11" i="1" s="1"/>
  <c r="K11" i="1"/>
  <c r="J12" i="1"/>
  <c r="E12" i="1" s="1"/>
  <c r="K12" i="1"/>
  <c r="J13" i="1"/>
  <c r="E13" i="1" s="1"/>
  <c r="K13" i="1"/>
  <c r="J14" i="1"/>
  <c r="E14" i="1" s="1"/>
  <c r="K14" i="1"/>
  <c r="J15" i="1"/>
  <c r="E15" i="1" s="1"/>
  <c r="K15" i="1"/>
  <c r="J16" i="1"/>
  <c r="E16" i="1" s="1"/>
  <c r="K16" i="1"/>
  <c r="J17" i="1"/>
  <c r="E17" i="1" s="1"/>
  <c r="K17" i="1"/>
  <c r="J18" i="1"/>
  <c r="E18" i="1" s="1"/>
  <c r="K18" i="1"/>
  <c r="J19" i="1"/>
  <c r="E19" i="1" s="1"/>
  <c r="K19" i="1"/>
  <c r="J20" i="1"/>
  <c r="E20" i="1" s="1"/>
  <c r="K20" i="1"/>
  <c r="J21" i="1"/>
  <c r="E21" i="1" s="1"/>
  <c r="K21" i="1"/>
  <c r="J22" i="1"/>
  <c r="E22" i="1" s="1"/>
  <c r="K22" i="1"/>
  <c r="J23" i="1"/>
  <c r="E23" i="1" s="1"/>
  <c r="K23" i="1"/>
  <c r="J24" i="1"/>
  <c r="E24" i="1" s="1"/>
  <c r="K24" i="1"/>
  <c r="J25" i="1"/>
  <c r="E25" i="1" s="1"/>
  <c r="K25" i="1"/>
  <c r="J26" i="1"/>
  <c r="E26" i="1" s="1"/>
  <c r="K26" i="1"/>
  <c r="E3" i="1"/>
  <c r="K2" i="1"/>
  <c r="J2" i="1"/>
  <c r="E2" i="1" s="1"/>
  <c r="P2" i="1" l="1"/>
  <c r="P24" i="1"/>
  <c r="P20" i="1"/>
  <c r="P16" i="1"/>
  <c r="P12" i="1"/>
  <c r="P8" i="1"/>
  <c r="P4" i="1"/>
  <c r="P23" i="1"/>
  <c r="P19" i="1"/>
  <c r="P15" i="1"/>
  <c r="P11" i="1"/>
  <c r="P7" i="1"/>
  <c r="P3" i="1"/>
  <c r="P26" i="1"/>
  <c r="P22" i="1"/>
  <c r="P18" i="1"/>
  <c r="P14" i="1"/>
  <c r="P10" i="1"/>
  <c r="P6" i="1"/>
  <c r="P25" i="1"/>
  <c r="P21" i="1"/>
  <c r="P17" i="1"/>
  <c r="P13" i="1"/>
  <c r="P9" i="1"/>
  <c r="P5" i="1"/>
</calcChain>
</file>

<file path=xl/sharedStrings.xml><?xml version="1.0" encoding="utf-8"?>
<sst xmlns="http://schemas.openxmlformats.org/spreadsheetml/2006/main" count="44" uniqueCount="14">
  <si>
    <t>case_id</t>
  </si>
  <si>
    <t>client_id</t>
  </si>
  <si>
    <t>attorney_id</t>
  </si>
  <si>
    <t>case_type</t>
  </si>
  <si>
    <t>open_date</t>
  </si>
  <si>
    <t>close_date</t>
  </si>
  <si>
    <t>settlement_amount</t>
  </si>
  <si>
    <t>row_id</t>
  </si>
  <si>
    <t/>
  </si>
  <si>
    <t>status_</t>
  </si>
  <si>
    <t>Open</t>
  </si>
  <si>
    <t>Settled</t>
  </si>
  <si>
    <t>Denied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</si>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</sst>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horizontal="left" vertical="center" wrapText="1" indent="2"/>
    </xf>
    <xf numFmtId="164" fontId="2" fillId="0" borderId="0" xfId="0" quotePrefix="1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i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ttorne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"/>
    </sheetNames>
    <sheetDataSet>
      <sheetData sheetId="0">
        <row r="2">
          <cell r="A2">
            <v>1</v>
          </cell>
          <cell r="B2">
            <v>1219</v>
          </cell>
        </row>
        <row r="3">
          <cell r="A3">
            <v>2</v>
          </cell>
          <cell r="B3">
            <v>1048</v>
          </cell>
        </row>
        <row r="4">
          <cell r="A4">
            <v>3</v>
          </cell>
          <cell r="B4">
            <v>1967</v>
          </cell>
        </row>
        <row r="5">
          <cell r="A5">
            <v>4</v>
          </cell>
          <cell r="B5">
            <v>195</v>
          </cell>
        </row>
        <row r="6">
          <cell r="A6">
            <v>5</v>
          </cell>
          <cell r="B6">
            <v>1407</v>
          </cell>
        </row>
        <row r="7">
          <cell r="A7">
            <v>6</v>
          </cell>
          <cell r="B7">
            <v>1258</v>
          </cell>
        </row>
        <row r="8">
          <cell r="A8">
            <v>7</v>
          </cell>
          <cell r="B8">
            <v>1754</v>
          </cell>
        </row>
        <row r="9">
          <cell r="A9">
            <v>8</v>
          </cell>
          <cell r="B9">
            <v>1834</v>
          </cell>
        </row>
        <row r="10">
          <cell r="A10">
            <v>9</v>
          </cell>
          <cell r="B10">
            <v>466</v>
          </cell>
        </row>
        <row r="11">
          <cell r="A11">
            <v>10</v>
          </cell>
          <cell r="B11">
            <v>221</v>
          </cell>
        </row>
        <row r="12">
          <cell r="A12">
            <v>11</v>
          </cell>
          <cell r="B12">
            <v>861</v>
          </cell>
        </row>
        <row r="13">
          <cell r="A13">
            <v>12</v>
          </cell>
          <cell r="B13">
            <v>212</v>
          </cell>
        </row>
        <row r="14">
          <cell r="A14">
            <v>13</v>
          </cell>
          <cell r="B14">
            <v>913</v>
          </cell>
        </row>
        <row r="15">
          <cell r="A15">
            <v>14</v>
          </cell>
          <cell r="B15">
            <v>332</v>
          </cell>
        </row>
        <row r="16">
          <cell r="A16">
            <v>15</v>
          </cell>
          <cell r="B16">
            <v>284</v>
          </cell>
        </row>
        <row r="17">
          <cell r="A17">
            <v>16</v>
          </cell>
          <cell r="B17">
            <v>740</v>
          </cell>
        </row>
        <row r="18">
          <cell r="A18">
            <v>17</v>
          </cell>
          <cell r="B18">
            <v>53</v>
          </cell>
        </row>
        <row r="19">
          <cell r="A19">
            <v>18</v>
          </cell>
          <cell r="B19">
            <v>1467</v>
          </cell>
        </row>
        <row r="20">
          <cell r="A20">
            <v>19</v>
          </cell>
          <cell r="B20">
            <v>697</v>
          </cell>
        </row>
        <row r="21">
          <cell r="A21">
            <v>20</v>
          </cell>
          <cell r="B21">
            <v>1126</v>
          </cell>
        </row>
        <row r="22">
          <cell r="A22">
            <v>21</v>
          </cell>
          <cell r="B22">
            <v>481</v>
          </cell>
        </row>
        <row r="23">
          <cell r="A23">
            <v>22</v>
          </cell>
          <cell r="B23">
            <v>1576</v>
          </cell>
        </row>
        <row r="24">
          <cell r="A24">
            <v>23</v>
          </cell>
          <cell r="B24">
            <v>756</v>
          </cell>
        </row>
        <row r="25">
          <cell r="A25">
            <v>24</v>
          </cell>
          <cell r="B25">
            <v>941</v>
          </cell>
        </row>
        <row r="26">
          <cell r="A26">
            <v>25</v>
          </cell>
          <cell r="B26">
            <v>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orney"/>
    </sheetNames>
    <sheetDataSet>
      <sheetData sheetId="0">
        <row r="2">
          <cell r="A2">
            <v>1</v>
          </cell>
          <cell r="B2">
            <v>1054</v>
          </cell>
        </row>
        <row r="3">
          <cell r="A3">
            <v>2</v>
          </cell>
          <cell r="B3">
            <v>1134</v>
          </cell>
        </row>
        <row r="4">
          <cell r="A4">
            <v>3</v>
          </cell>
          <cell r="B4">
            <v>625</v>
          </cell>
        </row>
        <row r="5">
          <cell r="A5">
            <v>4</v>
          </cell>
          <cell r="B5">
            <v>1568</v>
          </cell>
        </row>
        <row r="6">
          <cell r="A6">
            <v>5</v>
          </cell>
          <cell r="B6">
            <v>1422</v>
          </cell>
        </row>
        <row r="7">
          <cell r="A7">
            <v>6</v>
          </cell>
          <cell r="B7">
            <v>517</v>
          </cell>
        </row>
        <row r="8">
          <cell r="A8">
            <v>7</v>
          </cell>
          <cell r="B8">
            <v>268</v>
          </cell>
        </row>
        <row r="9">
          <cell r="A9">
            <v>8</v>
          </cell>
          <cell r="B9">
            <v>663</v>
          </cell>
        </row>
        <row r="10">
          <cell r="A10">
            <v>9</v>
          </cell>
          <cell r="B10">
            <v>664</v>
          </cell>
        </row>
        <row r="11">
          <cell r="A11">
            <v>10</v>
          </cell>
          <cell r="B11">
            <v>1113</v>
          </cell>
        </row>
        <row r="12">
          <cell r="A12">
            <v>11</v>
          </cell>
          <cell r="B12">
            <v>931</v>
          </cell>
        </row>
        <row r="13">
          <cell r="A13">
            <v>12</v>
          </cell>
          <cell r="B13">
            <v>1727</v>
          </cell>
        </row>
        <row r="14">
          <cell r="A14">
            <v>13</v>
          </cell>
          <cell r="B14">
            <v>901</v>
          </cell>
        </row>
        <row r="15">
          <cell r="A15">
            <v>14</v>
          </cell>
          <cell r="B15">
            <v>1049</v>
          </cell>
        </row>
        <row r="16">
          <cell r="A16">
            <v>15</v>
          </cell>
          <cell r="B16">
            <v>1342</v>
          </cell>
        </row>
        <row r="17">
          <cell r="A17">
            <v>16</v>
          </cell>
          <cell r="B17">
            <v>1740</v>
          </cell>
        </row>
        <row r="18">
          <cell r="A18">
            <v>17</v>
          </cell>
          <cell r="B18">
            <v>1859</v>
          </cell>
        </row>
        <row r="19">
          <cell r="A19">
            <v>18</v>
          </cell>
          <cell r="B19">
            <v>531</v>
          </cell>
        </row>
        <row r="20">
          <cell r="A20">
            <v>19</v>
          </cell>
          <cell r="B20">
            <v>753</v>
          </cell>
        </row>
        <row r="21">
          <cell r="A21">
            <v>20</v>
          </cell>
          <cell r="B21">
            <v>1238</v>
          </cell>
        </row>
        <row r="22">
          <cell r="A22">
            <v>21</v>
          </cell>
          <cell r="B22">
            <v>249</v>
          </cell>
        </row>
        <row r="23">
          <cell r="A23">
            <v>22</v>
          </cell>
          <cell r="B23">
            <v>1575</v>
          </cell>
        </row>
        <row r="24">
          <cell r="A24">
            <v>23</v>
          </cell>
          <cell r="B24">
            <v>1766</v>
          </cell>
        </row>
        <row r="25">
          <cell r="A25">
            <v>24</v>
          </cell>
          <cell r="B25">
            <v>503</v>
          </cell>
        </row>
        <row r="26">
          <cell r="A26">
            <v>25</v>
          </cell>
          <cell r="B26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/>
  </sheetViews>
  <sheetFormatPr defaultRowHeight="15" x14ac:dyDescent="0.25"/>
  <cols>
    <col min="4" max="4" width="11.28515625" bestFit="1" customWidth="1"/>
    <col min="5" max="5" width="22.140625" bestFit="1" customWidth="1"/>
    <col min="7" max="8" width="13.140625" bestFit="1" customWidth="1"/>
    <col min="9" max="9" width="19" bestFit="1" customWidth="1"/>
  </cols>
  <sheetData>
    <row r="1" spans="1:16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3" t="s">
        <v>4</v>
      </c>
      <c r="H1" s="3" t="s">
        <v>5</v>
      </c>
      <c r="I1" s="1" t="s">
        <v>6</v>
      </c>
      <c r="J1" t="str">
        <f>CONCATENATE("(", B1,", ", C1,", ", D1,", ", E1,", ", F1,", ", G1,", ", H1, ", ", I1, ")")</f>
        <v>(case_id, client_id, attorney_id, case_type, status_, open_date, close_date, settlement_amount)</v>
      </c>
    </row>
    <row r="2" spans="1:16" x14ac:dyDescent="0.25">
      <c r="A2">
        <v>1</v>
      </c>
      <c r="B2">
        <v>222</v>
      </c>
      <c r="C2">
        <f ca="1">VLOOKUP(M2, [1]client!$A$2:$B$26,2, FALSE)</f>
        <v>1407</v>
      </c>
      <c r="D2">
        <f ca="1">VLOOKUP(O2,[2]attorney!$A$2:$B$26,2,FALSE)</f>
        <v>664</v>
      </c>
      <c r="E2" t="str">
        <f ca="1">IF(J2 &lt; 1, "Workers Compensation","Personal Injury")</f>
        <v>Personal Injury</v>
      </c>
      <c r="F2" t="s">
        <v>10</v>
      </c>
      <c r="G2" s="4">
        <v>44587</v>
      </c>
      <c r="H2" s="4"/>
      <c r="I2" s="2">
        <v>841298.25</v>
      </c>
      <c r="J2">
        <f ca="1">RAND()*2</f>
        <v>1.9565453868740283</v>
      </c>
      <c r="K2">
        <f ca="1">RAND()*4</f>
        <v>0.19260004251762242</v>
      </c>
      <c r="L2">
        <f ca="1">RAND()*25</f>
        <v>4.8630499382715273</v>
      </c>
      <c r="M2">
        <f ca="1">ROUNDUP(L2, 0)</f>
        <v>5</v>
      </c>
      <c r="N2">
        <f ca="1">RAND()*25</f>
        <v>8.8790238965296453</v>
      </c>
      <c r="O2">
        <f ca="1">ROUNDUP(N2, 0)</f>
        <v>9</v>
      </c>
      <c r="P2" t="str">
        <f ca="1">CONCATENATE("(",B2,", ", C2, ", ", D2, ", ", CHAR(39), E2, CHAR(39), ", ", CHAR(39), F2, CHAR(39), ", ", CHAR(39), TEXT(G2, "yyyy-mm-dd"), CHAR(39), ", ", CHAR(39), TEXT(H2, "yyyy-mm-dd"), CHAR(39), ", ", I2,"),")</f>
        <v>(222, 1407, 664, 'Personal Injury', 'Open', '2022-01-26', '1900-01-00', 841298.25),</v>
      </c>
    </row>
    <row r="3" spans="1:16" x14ac:dyDescent="0.25">
      <c r="A3">
        <v>2</v>
      </c>
      <c r="B3">
        <v>1674</v>
      </c>
      <c r="C3">
        <f ca="1">VLOOKUP(M3, [1]client!$A$2:$B$26,2, FALSE)</f>
        <v>212</v>
      </c>
      <c r="D3">
        <f ca="1">VLOOKUP(O3,[2]attorney!$A$2:$B$26,2,FALSE)</f>
        <v>1575</v>
      </c>
      <c r="E3" t="str">
        <f t="shared" ref="E3:E26" ca="1" si="0">IF(J3 &lt; 1, "Workers Compensation","Personal Injury")</f>
        <v>Workers Compensation</v>
      </c>
      <c r="F3" t="s">
        <v>10</v>
      </c>
      <c r="G3" s="4">
        <v>44651</v>
      </c>
      <c r="H3" s="4"/>
      <c r="I3" s="2">
        <v>240785.36</v>
      </c>
      <c r="J3">
        <f t="shared" ref="J3:J26" ca="1" si="1">RAND()*2</f>
        <v>0.54423020519484488</v>
      </c>
      <c r="K3">
        <f t="shared" ref="K3:K26" ca="1" si="2">RAND()*4</f>
        <v>3.2676194310761861</v>
      </c>
      <c r="L3">
        <f t="shared" ref="L3:L26" ca="1" si="3">RAND()*25</f>
        <v>11.145650881275079</v>
      </c>
      <c r="M3">
        <f t="shared" ref="M3:M26" ca="1" si="4">ROUNDUP(L3, 0)</f>
        <v>12</v>
      </c>
      <c r="N3">
        <f t="shared" ref="N3:N26" ca="1" si="5">RAND()*25</f>
        <v>21.726664396049337</v>
      </c>
      <c r="O3">
        <f t="shared" ref="O3:O26" ca="1" si="6">ROUNDUP(N3, 0)</f>
        <v>22</v>
      </c>
      <c r="P3" t="str">
        <f t="shared" ref="P3:P26" ca="1" si="7">CONCATENATE("(",B3,", ", C3, ", ", D3, ", ", CHAR(39), E3, CHAR(39), ", ", CHAR(39), F3, CHAR(39), ", ", CHAR(39), TEXT(G3, "yyyy-mm-dd"), CHAR(39), ", ", CHAR(39), TEXT(H3, "yyyy-mm-dd"), CHAR(39), ", ", I3,"),")</f>
        <v>(1674, 212, 1575, 'Workers Compensation', 'Open', '2022-03-31', '1900-01-00', 240785.36),</v>
      </c>
    </row>
    <row r="4" spans="1:16" x14ac:dyDescent="0.25">
      <c r="A4">
        <v>3</v>
      </c>
      <c r="B4">
        <v>638</v>
      </c>
      <c r="C4">
        <f ca="1">VLOOKUP(M4, [1]client!$A$2:$B$26,2, FALSE)</f>
        <v>1258</v>
      </c>
      <c r="D4">
        <f ca="1">VLOOKUP(O4,[2]attorney!$A$2:$B$26,2,FALSE)</f>
        <v>268</v>
      </c>
      <c r="E4" t="str">
        <f t="shared" ca="1" si="0"/>
        <v>Workers Compensation</v>
      </c>
      <c r="F4" t="s">
        <v>12</v>
      </c>
      <c r="G4" s="4">
        <v>44655</v>
      </c>
      <c r="H4" s="4">
        <v>45688</v>
      </c>
      <c r="I4" s="2">
        <v>1118572.8500000001</v>
      </c>
      <c r="J4">
        <f t="shared" ca="1" si="1"/>
        <v>0.65926735203963549</v>
      </c>
      <c r="K4">
        <f t="shared" ca="1" si="2"/>
        <v>2.7188144820426703</v>
      </c>
      <c r="L4">
        <f t="shared" ca="1" si="3"/>
        <v>5.4793131206071823</v>
      </c>
      <c r="M4">
        <f t="shared" ca="1" si="4"/>
        <v>6</v>
      </c>
      <c r="N4">
        <f t="shared" ca="1" si="5"/>
        <v>6.7658745386853711</v>
      </c>
      <c r="O4">
        <f t="shared" ca="1" si="6"/>
        <v>7</v>
      </c>
      <c r="P4" t="str">
        <f t="shared" ca="1" si="7"/>
        <v>(638, 1258, 268, 'Workers Compensation', 'Denied', '2022-04-04', '2025-01-31', 1118572.85),</v>
      </c>
    </row>
    <row r="5" spans="1:16" x14ac:dyDescent="0.25">
      <c r="A5">
        <v>4</v>
      </c>
      <c r="B5">
        <v>804</v>
      </c>
      <c r="C5">
        <f ca="1">VLOOKUP(M5, [1]client!$A$2:$B$26,2, FALSE)</f>
        <v>913</v>
      </c>
      <c r="D5">
        <f ca="1">VLOOKUP(O5,[2]attorney!$A$2:$B$26,2,FALSE)</f>
        <v>14</v>
      </c>
      <c r="E5" t="str">
        <f t="shared" ca="1" si="0"/>
        <v>Personal Injury</v>
      </c>
      <c r="F5" t="s">
        <v>12</v>
      </c>
      <c r="G5" s="4">
        <v>44672</v>
      </c>
      <c r="H5" s="4">
        <v>45713</v>
      </c>
      <c r="I5" s="2">
        <v>1101815.23</v>
      </c>
      <c r="J5">
        <f t="shared" ca="1" si="1"/>
        <v>1.8682193784787906</v>
      </c>
      <c r="K5">
        <f t="shared" ca="1" si="2"/>
        <v>0.8793830574931043</v>
      </c>
      <c r="L5">
        <f t="shared" ca="1" si="3"/>
        <v>12.520270900828473</v>
      </c>
      <c r="M5">
        <f t="shared" ca="1" si="4"/>
        <v>13</v>
      </c>
      <c r="N5">
        <f t="shared" ca="1" si="5"/>
        <v>24.130691676076392</v>
      </c>
      <c r="O5">
        <f t="shared" ca="1" si="6"/>
        <v>25</v>
      </c>
      <c r="P5" t="str">
        <f t="shared" ca="1" si="7"/>
        <v>(804, 913, 14, 'Personal Injury', 'Denied', '2022-04-21', '2025-02-25', 1101815.23),</v>
      </c>
    </row>
    <row r="6" spans="1:16" x14ac:dyDescent="0.25">
      <c r="A6">
        <v>5</v>
      </c>
      <c r="B6">
        <v>1896</v>
      </c>
      <c r="C6">
        <f ca="1">VLOOKUP(M6, [1]client!$A$2:$B$26,2, FALSE)</f>
        <v>195</v>
      </c>
      <c r="D6">
        <f ca="1">VLOOKUP(O6,[2]attorney!$A$2:$B$26,2,FALSE)</f>
        <v>14</v>
      </c>
      <c r="E6" t="str">
        <f t="shared" ca="1" si="0"/>
        <v>Workers Compensation</v>
      </c>
      <c r="F6" t="s">
        <v>10</v>
      </c>
      <c r="G6" s="4">
        <v>44679</v>
      </c>
      <c r="H6" s="5" t="s">
        <v>8</v>
      </c>
      <c r="I6" s="2">
        <v>258902.89</v>
      </c>
      <c r="J6">
        <f t="shared" ca="1" si="1"/>
        <v>0.87514163324304262</v>
      </c>
      <c r="K6">
        <f t="shared" ca="1" si="2"/>
        <v>2.8602363270928546</v>
      </c>
      <c r="L6">
        <f t="shared" ca="1" si="3"/>
        <v>3.5598720761370881</v>
      </c>
      <c r="M6">
        <f t="shared" ca="1" si="4"/>
        <v>4</v>
      </c>
      <c r="N6">
        <f t="shared" ca="1" si="5"/>
        <v>24.872020313038252</v>
      </c>
      <c r="O6">
        <f t="shared" ca="1" si="6"/>
        <v>25</v>
      </c>
      <c r="P6" t="str">
        <f t="shared" ca="1" si="7"/>
        <v>(1896, 195, 14, 'Workers Compensation', 'Open', '2022-04-28', '', 258902.89),</v>
      </c>
    </row>
    <row r="7" spans="1:16" x14ac:dyDescent="0.25">
      <c r="A7">
        <v>6</v>
      </c>
      <c r="B7">
        <v>548</v>
      </c>
      <c r="C7">
        <f ca="1">VLOOKUP(M7, [1]client!$A$2:$B$26,2, FALSE)</f>
        <v>1576</v>
      </c>
      <c r="D7">
        <f ca="1">VLOOKUP(O7,[2]attorney!$A$2:$B$26,2,FALSE)</f>
        <v>1859</v>
      </c>
      <c r="E7" t="str">
        <f t="shared" ca="1" si="0"/>
        <v>Workers Compensation</v>
      </c>
      <c r="F7" t="s">
        <v>10</v>
      </c>
      <c r="G7" s="4">
        <v>44701</v>
      </c>
      <c r="H7" s="5" t="s">
        <v>8</v>
      </c>
      <c r="I7" s="2">
        <v>1216552.5</v>
      </c>
      <c r="J7">
        <f t="shared" ca="1" si="1"/>
        <v>0.95427557148910336</v>
      </c>
      <c r="K7">
        <f t="shared" ca="1" si="2"/>
        <v>2.066613513353416</v>
      </c>
      <c r="L7">
        <f t="shared" ca="1" si="3"/>
        <v>21.009015792925258</v>
      </c>
      <c r="M7">
        <f t="shared" ca="1" si="4"/>
        <v>22</v>
      </c>
      <c r="N7">
        <f t="shared" ca="1" si="5"/>
        <v>16.164456195414598</v>
      </c>
      <c r="O7">
        <f t="shared" ca="1" si="6"/>
        <v>17</v>
      </c>
      <c r="P7" t="str">
        <f t="shared" ca="1" si="7"/>
        <v>(548, 1576, 1859, 'Workers Compensation', 'Open', '2022-05-20', '', 1216552.5),</v>
      </c>
    </row>
    <row r="8" spans="1:16" x14ac:dyDescent="0.25">
      <c r="A8">
        <v>7</v>
      </c>
      <c r="B8">
        <v>1401</v>
      </c>
      <c r="C8">
        <f ca="1">VLOOKUP(M8, [1]client!$A$2:$B$26,2, FALSE)</f>
        <v>1407</v>
      </c>
      <c r="D8">
        <f ca="1">VLOOKUP(O8,[2]attorney!$A$2:$B$26,2,FALSE)</f>
        <v>1727</v>
      </c>
      <c r="E8" t="str">
        <f t="shared" ca="1" si="0"/>
        <v>Personal Injury</v>
      </c>
      <c r="F8" t="s">
        <v>11</v>
      </c>
      <c r="G8" s="4">
        <v>44852</v>
      </c>
      <c r="H8" s="4">
        <v>45737</v>
      </c>
      <c r="I8" s="2">
        <v>1188711.95</v>
      </c>
      <c r="J8">
        <f t="shared" ca="1" si="1"/>
        <v>1.0670311828101859</v>
      </c>
      <c r="K8">
        <f t="shared" ca="1" si="2"/>
        <v>1.2345543735426427</v>
      </c>
      <c r="L8">
        <f t="shared" ca="1" si="3"/>
        <v>4.7625439992379865</v>
      </c>
      <c r="M8">
        <f t="shared" ca="1" si="4"/>
        <v>5</v>
      </c>
      <c r="N8">
        <f t="shared" ca="1" si="5"/>
        <v>11.004105956602029</v>
      </c>
      <c r="O8">
        <f t="shared" ca="1" si="6"/>
        <v>12</v>
      </c>
      <c r="P8" t="str">
        <f t="shared" ca="1" si="7"/>
        <v>(1401, 1407, 1727, 'Personal Injury', 'Settled', '2022-10-18', '2025-03-21', 1188711.95),</v>
      </c>
    </row>
    <row r="9" spans="1:16" x14ac:dyDescent="0.25">
      <c r="A9">
        <v>8</v>
      </c>
      <c r="B9">
        <v>1341</v>
      </c>
      <c r="C9">
        <f ca="1">VLOOKUP(M9, [1]client!$A$2:$B$26,2, FALSE)</f>
        <v>1967</v>
      </c>
      <c r="D9">
        <f ca="1">VLOOKUP(O9,[2]attorney!$A$2:$B$26,2,FALSE)</f>
        <v>1740</v>
      </c>
      <c r="E9" t="str">
        <f t="shared" ca="1" si="0"/>
        <v>Workers Compensation</v>
      </c>
      <c r="F9" t="s">
        <v>11</v>
      </c>
      <c r="G9" s="4">
        <v>44900</v>
      </c>
      <c r="H9" s="4">
        <v>45744</v>
      </c>
      <c r="I9" s="2">
        <v>424776.96000000002</v>
      </c>
      <c r="J9">
        <f t="shared" ca="1" si="1"/>
        <v>0.97738711872764661</v>
      </c>
      <c r="K9">
        <f t="shared" ca="1" si="2"/>
        <v>0.89951227472268336</v>
      </c>
      <c r="L9">
        <f t="shared" ca="1" si="3"/>
        <v>2.7967039001053684</v>
      </c>
      <c r="M9">
        <f t="shared" ca="1" si="4"/>
        <v>3</v>
      </c>
      <c r="N9">
        <f t="shared" ca="1" si="5"/>
        <v>15.746332074755031</v>
      </c>
      <c r="O9">
        <f t="shared" ca="1" si="6"/>
        <v>16</v>
      </c>
      <c r="P9" t="str">
        <f t="shared" ca="1" si="7"/>
        <v>(1341, 1967, 1740, 'Workers Compensation', 'Settled', '2022-12-05', '2025-03-28', 424776.96),</v>
      </c>
    </row>
    <row r="10" spans="1:16" x14ac:dyDescent="0.25">
      <c r="A10">
        <v>9</v>
      </c>
      <c r="B10">
        <v>1992</v>
      </c>
      <c r="C10">
        <f ca="1">VLOOKUP(M10, [1]client!$A$2:$B$26,2, FALSE)</f>
        <v>1834</v>
      </c>
      <c r="D10">
        <f ca="1">VLOOKUP(O10,[2]attorney!$A$2:$B$26,2,FALSE)</f>
        <v>1113</v>
      </c>
      <c r="E10" t="str">
        <f t="shared" ca="1" si="0"/>
        <v>Workers Compensation</v>
      </c>
      <c r="F10" t="s">
        <v>11</v>
      </c>
      <c r="G10" s="4">
        <v>44929</v>
      </c>
      <c r="H10" s="4">
        <v>45771</v>
      </c>
      <c r="I10" s="2">
        <v>1161940.8600000001</v>
      </c>
      <c r="J10">
        <f t="shared" ca="1" si="1"/>
        <v>0.59320792277305023</v>
      </c>
      <c r="K10">
        <f t="shared" ca="1" si="2"/>
        <v>9.6312301912476972E-2</v>
      </c>
      <c r="L10">
        <f t="shared" ca="1" si="3"/>
        <v>7.6507817490934773</v>
      </c>
      <c r="M10">
        <f t="shared" ca="1" si="4"/>
        <v>8</v>
      </c>
      <c r="N10">
        <f t="shared" ca="1" si="5"/>
        <v>9.6367893519324426</v>
      </c>
      <c r="O10">
        <f t="shared" ca="1" si="6"/>
        <v>10</v>
      </c>
      <c r="P10" t="str">
        <f t="shared" ca="1" si="7"/>
        <v>(1992, 1834, 1113, 'Workers Compensation', 'Settled', '2023-01-03', '2025-04-24', 1161940.86),</v>
      </c>
    </row>
    <row r="11" spans="1:16" x14ac:dyDescent="0.25">
      <c r="A11">
        <v>10</v>
      </c>
      <c r="B11">
        <v>346</v>
      </c>
      <c r="C11">
        <f ca="1">VLOOKUP(M11, [1]client!$A$2:$B$26,2, FALSE)</f>
        <v>740</v>
      </c>
      <c r="D11">
        <f ca="1">VLOOKUP(O11,[2]attorney!$A$2:$B$26,2,FALSE)</f>
        <v>1238</v>
      </c>
      <c r="E11" t="str">
        <f t="shared" ca="1" si="0"/>
        <v>Workers Compensation</v>
      </c>
      <c r="F11" t="s">
        <v>11</v>
      </c>
      <c r="G11" s="4">
        <v>44966</v>
      </c>
      <c r="H11" s="4">
        <v>45779</v>
      </c>
      <c r="I11" s="2">
        <v>618423.48</v>
      </c>
      <c r="J11">
        <f t="shared" ca="1" si="1"/>
        <v>0.77068667246136324</v>
      </c>
      <c r="K11">
        <f t="shared" ca="1" si="2"/>
        <v>1.4472151512026286</v>
      </c>
      <c r="L11">
        <f t="shared" ca="1" si="3"/>
        <v>15.398390192874867</v>
      </c>
      <c r="M11">
        <f t="shared" ca="1" si="4"/>
        <v>16</v>
      </c>
      <c r="N11">
        <f t="shared" ca="1" si="5"/>
        <v>19.920612267208028</v>
      </c>
      <c r="O11">
        <f t="shared" ca="1" si="6"/>
        <v>20</v>
      </c>
      <c r="P11" t="str">
        <f t="shared" ca="1" si="7"/>
        <v>(346, 740, 1238, 'Workers Compensation', 'Settled', '2023-02-09', '2025-05-02', 618423.48),</v>
      </c>
    </row>
    <row r="12" spans="1:16" x14ac:dyDescent="0.25">
      <c r="A12">
        <v>11</v>
      </c>
      <c r="B12">
        <v>1884</v>
      </c>
      <c r="C12">
        <f ca="1">VLOOKUP(M12, [1]client!$A$2:$B$26,2, FALSE)</f>
        <v>740</v>
      </c>
      <c r="D12">
        <f ca="1">VLOOKUP(O12,[2]attorney!$A$2:$B$26,2,FALSE)</f>
        <v>625</v>
      </c>
      <c r="E12" t="str">
        <f t="shared" ca="1" si="0"/>
        <v>Personal Injury</v>
      </c>
      <c r="F12" t="s">
        <v>11</v>
      </c>
      <c r="G12" s="4">
        <v>44980</v>
      </c>
      <c r="H12" s="4">
        <v>45798</v>
      </c>
      <c r="I12" s="2">
        <v>1128266.8</v>
      </c>
      <c r="J12">
        <f t="shared" ca="1" si="1"/>
        <v>1.6931681401030947</v>
      </c>
      <c r="K12">
        <f t="shared" ca="1" si="2"/>
        <v>1.4223732657195209</v>
      </c>
      <c r="L12">
        <f t="shared" ca="1" si="3"/>
        <v>15.244222840221028</v>
      </c>
      <c r="M12">
        <f t="shared" ca="1" si="4"/>
        <v>16</v>
      </c>
      <c r="N12">
        <f t="shared" ca="1" si="5"/>
        <v>2.1431684762474976</v>
      </c>
      <c r="O12">
        <f t="shared" ca="1" si="6"/>
        <v>3</v>
      </c>
      <c r="P12" t="str">
        <f t="shared" ca="1" si="7"/>
        <v>(1884, 740, 625, 'Personal Injury', 'Settled', '2023-02-23', '2025-05-21', 1128266.8),</v>
      </c>
    </row>
    <row r="13" spans="1:16" x14ac:dyDescent="0.25">
      <c r="A13">
        <v>12</v>
      </c>
      <c r="B13">
        <v>92</v>
      </c>
      <c r="C13">
        <f ca="1">VLOOKUP(M13, [1]client!$A$2:$B$26,2, FALSE)</f>
        <v>332</v>
      </c>
      <c r="D13">
        <f ca="1">VLOOKUP(O13,[2]attorney!$A$2:$B$26,2,FALSE)</f>
        <v>1575</v>
      </c>
      <c r="E13" t="str">
        <f t="shared" ca="1" si="0"/>
        <v>Personal Injury</v>
      </c>
      <c r="F13" t="s">
        <v>10</v>
      </c>
      <c r="G13" s="4">
        <v>45114</v>
      </c>
      <c r="H13" s="5" t="s">
        <v>8</v>
      </c>
      <c r="I13" s="2">
        <v>171852.49</v>
      </c>
      <c r="J13">
        <f t="shared" ca="1" si="1"/>
        <v>1.441942826369192</v>
      </c>
      <c r="K13">
        <f t="shared" ca="1" si="2"/>
        <v>1.8178428705184757</v>
      </c>
      <c r="L13">
        <f t="shared" ca="1" si="3"/>
        <v>13.657987019419386</v>
      </c>
      <c r="M13">
        <f t="shared" ca="1" si="4"/>
        <v>14</v>
      </c>
      <c r="N13">
        <f t="shared" ca="1" si="5"/>
        <v>21.654125622192414</v>
      </c>
      <c r="O13">
        <f t="shared" ca="1" si="6"/>
        <v>22</v>
      </c>
      <c r="P13" t="str">
        <f t="shared" ca="1" si="7"/>
        <v>(92, 332, 1575, 'Personal Injury', 'Open', '2023-07-07', '', 171852.49),</v>
      </c>
    </row>
    <row r="14" spans="1:16" x14ac:dyDescent="0.25">
      <c r="A14">
        <v>13</v>
      </c>
      <c r="B14">
        <v>717</v>
      </c>
      <c r="C14">
        <f ca="1">VLOOKUP(M14, [1]client!$A$2:$B$26,2, FALSE)</f>
        <v>1576</v>
      </c>
      <c r="D14">
        <f ca="1">VLOOKUP(O14,[2]attorney!$A$2:$B$26,2,FALSE)</f>
        <v>1342</v>
      </c>
      <c r="E14" t="str">
        <f t="shared" ca="1" si="0"/>
        <v>Workers Compensation</v>
      </c>
      <c r="F14" t="s">
        <v>10</v>
      </c>
      <c r="G14" s="4">
        <v>45152</v>
      </c>
      <c r="H14" s="5" t="s">
        <v>8</v>
      </c>
      <c r="I14" s="2">
        <v>1095853.76</v>
      </c>
      <c r="J14">
        <f t="shared" ca="1" si="1"/>
        <v>0.84675386026711674</v>
      </c>
      <c r="K14">
        <f t="shared" ca="1" si="2"/>
        <v>2.8821818925925697</v>
      </c>
      <c r="L14">
        <f t="shared" ca="1" si="3"/>
        <v>21.340600883086534</v>
      </c>
      <c r="M14">
        <f t="shared" ca="1" si="4"/>
        <v>22</v>
      </c>
      <c r="N14">
        <f t="shared" ca="1" si="5"/>
        <v>14.282848179862043</v>
      </c>
      <c r="O14">
        <f t="shared" ca="1" si="6"/>
        <v>15</v>
      </c>
      <c r="P14" t="str">
        <f t="shared" ca="1" si="7"/>
        <v>(717, 1576, 1342, 'Workers Compensation', 'Open', '2023-08-14', '', 1095853.76),</v>
      </c>
    </row>
    <row r="15" spans="1:16" x14ac:dyDescent="0.25">
      <c r="A15">
        <v>14</v>
      </c>
      <c r="B15">
        <v>1520</v>
      </c>
      <c r="C15">
        <f ca="1">VLOOKUP(M15, [1]client!$A$2:$B$26,2, FALSE)</f>
        <v>1407</v>
      </c>
      <c r="D15">
        <f ca="1">VLOOKUP(O15,[2]attorney!$A$2:$B$26,2,FALSE)</f>
        <v>249</v>
      </c>
      <c r="E15" t="str">
        <f t="shared" ca="1" si="0"/>
        <v>Personal Injury</v>
      </c>
      <c r="F15" t="s">
        <v>10</v>
      </c>
      <c r="G15" s="4">
        <v>45219</v>
      </c>
      <c r="H15" s="5" t="s">
        <v>8</v>
      </c>
      <c r="I15" s="2">
        <v>1262767.19</v>
      </c>
      <c r="J15">
        <f t="shared" ca="1" si="1"/>
        <v>1.3613466320050975</v>
      </c>
      <c r="K15">
        <f t="shared" ca="1" si="2"/>
        <v>2.4449126907078713</v>
      </c>
      <c r="L15">
        <f t="shared" ca="1" si="3"/>
        <v>4.0898222393588091</v>
      </c>
      <c r="M15">
        <f t="shared" ca="1" si="4"/>
        <v>5</v>
      </c>
      <c r="N15">
        <f t="shared" ca="1" si="5"/>
        <v>20.014800812632576</v>
      </c>
      <c r="O15">
        <f t="shared" ca="1" si="6"/>
        <v>21</v>
      </c>
      <c r="P15" t="str">
        <f t="shared" ca="1" si="7"/>
        <v>(1520, 1407, 249, 'Personal Injury', 'Open', '2023-10-20', '', 1262767.19),</v>
      </c>
    </row>
    <row r="16" spans="1:16" x14ac:dyDescent="0.25">
      <c r="A16">
        <v>15</v>
      </c>
      <c r="B16">
        <v>83</v>
      </c>
      <c r="C16">
        <f ca="1">VLOOKUP(M16, [1]client!$A$2:$B$26,2, FALSE)</f>
        <v>1126</v>
      </c>
      <c r="D16">
        <f ca="1">VLOOKUP(O16,[2]attorney!$A$2:$B$26,2,FALSE)</f>
        <v>664</v>
      </c>
      <c r="E16" t="str">
        <f t="shared" ca="1" si="0"/>
        <v>Workers Compensation</v>
      </c>
      <c r="F16" t="s">
        <v>10</v>
      </c>
      <c r="G16" s="4">
        <v>45334</v>
      </c>
      <c r="H16" s="5" t="s">
        <v>8</v>
      </c>
      <c r="I16" s="2">
        <v>1097620.1000000001</v>
      </c>
      <c r="J16">
        <f t="shared" ca="1" si="1"/>
        <v>0.61449556643973025</v>
      </c>
      <c r="K16">
        <f t="shared" ca="1" si="2"/>
        <v>1.3913235063122387</v>
      </c>
      <c r="L16">
        <f t="shared" ca="1" si="3"/>
        <v>19.646338845898409</v>
      </c>
      <c r="M16">
        <f t="shared" ca="1" si="4"/>
        <v>20</v>
      </c>
      <c r="N16">
        <f t="shared" ca="1" si="5"/>
        <v>8.6265507010466731</v>
      </c>
      <c r="O16">
        <f t="shared" ca="1" si="6"/>
        <v>9</v>
      </c>
      <c r="P16" t="str">
        <f t="shared" ca="1" si="7"/>
        <v>(83, 1126, 664, 'Workers Compensation', 'Open', '2024-02-12', '', 1097620.1),</v>
      </c>
    </row>
    <row r="17" spans="1:16" x14ac:dyDescent="0.25">
      <c r="A17">
        <v>16</v>
      </c>
      <c r="B17">
        <v>1900</v>
      </c>
      <c r="C17">
        <f ca="1">VLOOKUP(M17, [1]client!$A$2:$B$26,2, FALSE)</f>
        <v>941</v>
      </c>
      <c r="D17">
        <f ca="1">VLOOKUP(O17,[2]attorney!$A$2:$B$26,2,FALSE)</f>
        <v>503</v>
      </c>
      <c r="E17" t="str">
        <f t="shared" ca="1" si="0"/>
        <v>Personal Injury</v>
      </c>
      <c r="F17" t="s">
        <v>13</v>
      </c>
      <c r="G17" s="4">
        <v>45406</v>
      </c>
      <c r="H17" s="4">
        <v>45875</v>
      </c>
      <c r="I17" s="2">
        <v>492574.75</v>
      </c>
      <c r="J17">
        <f t="shared" ca="1" si="1"/>
        <v>1.6052303339252867</v>
      </c>
      <c r="K17">
        <f t="shared" ca="1" si="2"/>
        <v>2.9510868804292558</v>
      </c>
      <c r="L17">
        <f t="shared" ca="1" si="3"/>
        <v>23.587348168813012</v>
      </c>
      <c r="M17">
        <f t="shared" ca="1" si="4"/>
        <v>24</v>
      </c>
      <c r="N17">
        <f t="shared" ca="1" si="5"/>
        <v>23.870578437839733</v>
      </c>
      <c r="O17">
        <f t="shared" ca="1" si="6"/>
        <v>24</v>
      </c>
      <c r="P17" t="str">
        <f t="shared" ca="1" si="7"/>
        <v>(1900, 941, 503, 'Personal Injury', 'Closed', '2024-04-24', '2025-08-06', 492574.75),</v>
      </c>
    </row>
    <row r="18" spans="1:16" x14ac:dyDescent="0.25">
      <c r="A18">
        <v>17</v>
      </c>
      <c r="B18">
        <v>1343</v>
      </c>
      <c r="C18">
        <f ca="1">VLOOKUP(M18, [1]client!$A$2:$B$26,2, FALSE)</f>
        <v>53</v>
      </c>
      <c r="D18">
        <f ca="1">VLOOKUP(O18,[2]attorney!$A$2:$B$26,2,FALSE)</f>
        <v>901</v>
      </c>
      <c r="E18" t="str">
        <f t="shared" ca="1" si="0"/>
        <v>Personal Injury</v>
      </c>
      <c r="F18" t="s">
        <v>13</v>
      </c>
      <c r="G18" s="4">
        <v>45429</v>
      </c>
      <c r="H18" s="4">
        <v>45877</v>
      </c>
      <c r="I18" s="2">
        <v>651054.77</v>
      </c>
      <c r="J18">
        <f t="shared" ca="1" si="1"/>
        <v>1.4962936799418423</v>
      </c>
      <c r="K18">
        <f t="shared" ca="1" si="2"/>
        <v>1.724342197706588</v>
      </c>
      <c r="L18">
        <f t="shared" ca="1" si="3"/>
        <v>16.023567011326008</v>
      </c>
      <c r="M18">
        <f t="shared" ca="1" si="4"/>
        <v>17</v>
      </c>
      <c r="N18">
        <f t="shared" ca="1" si="5"/>
        <v>12.72235564673054</v>
      </c>
      <c r="O18">
        <f t="shared" ca="1" si="6"/>
        <v>13</v>
      </c>
      <c r="P18" t="str">
        <f t="shared" ca="1" si="7"/>
        <v>(1343, 53, 901, 'Personal Injury', 'Closed', '2024-05-17', '2025-08-08', 651054.77),</v>
      </c>
    </row>
    <row r="19" spans="1:16" x14ac:dyDescent="0.25">
      <c r="A19">
        <v>18</v>
      </c>
      <c r="B19">
        <v>50</v>
      </c>
      <c r="C19">
        <f ca="1">VLOOKUP(M19, [1]client!$A$2:$B$26,2, FALSE)</f>
        <v>1576</v>
      </c>
      <c r="D19">
        <f ca="1">VLOOKUP(O19,[2]attorney!$A$2:$B$26,2,FALSE)</f>
        <v>1859</v>
      </c>
      <c r="E19" t="str">
        <f t="shared" ca="1" si="0"/>
        <v>Personal Injury</v>
      </c>
      <c r="F19" t="s">
        <v>13</v>
      </c>
      <c r="G19" s="4">
        <v>45454</v>
      </c>
      <c r="H19" s="4">
        <v>45968</v>
      </c>
      <c r="I19" s="2">
        <v>1011605.82</v>
      </c>
      <c r="J19">
        <f t="shared" ca="1" si="1"/>
        <v>1.1895573849763541</v>
      </c>
      <c r="K19">
        <f t="shared" ca="1" si="2"/>
        <v>3.9479495790459715</v>
      </c>
      <c r="L19">
        <f t="shared" ca="1" si="3"/>
        <v>21.56999052822723</v>
      </c>
      <c r="M19">
        <f t="shared" ca="1" si="4"/>
        <v>22</v>
      </c>
      <c r="N19">
        <f t="shared" ca="1" si="5"/>
        <v>16.54990932286486</v>
      </c>
      <c r="O19">
        <f t="shared" ca="1" si="6"/>
        <v>17</v>
      </c>
      <c r="P19" t="str">
        <f t="shared" ca="1" si="7"/>
        <v>(50, 1576, 1859, 'Personal Injury', 'Closed', '2024-06-11', '2025-11-07', 1011605.82),</v>
      </c>
    </row>
    <row r="20" spans="1:16" x14ac:dyDescent="0.25">
      <c r="A20">
        <v>19</v>
      </c>
      <c r="B20">
        <v>723</v>
      </c>
      <c r="C20">
        <f ca="1">VLOOKUP(M20, [1]client!$A$2:$B$26,2, FALSE)</f>
        <v>91</v>
      </c>
      <c r="D20">
        <f ca="1">VLOOKUP(O20,[2]attorney!$A$2:$B$26,2,FALSE)</f>
        <v>268</v>
      </c>
      <c r="E20" t="str">
        <f t="shared" ca="1" si="0"/>
        <v>Workers Compensation</v>
      </c>
      <c r="F20" t="s">
        <v>13</v>
      </c>
      <c r="G20" s="4">
        <v>45461</v>
      </c>
      <c r="H20" s="4">
        <v>45996</v>
      </c>
      <c r="I20" s="2">
        <v>771049.59</v>
      </c>
      <c r="J20">
        <f t="shared" ca="1" si="1"/>
        <v>0.77851045673911856</v>
      </c>
      <c r="K20">
        <f t="shared" ca="1" si="2"/>
        <v>2.200134735863899</v>
      </c>
      <c r="L20">
        <f t="shared" ca="1" si="3"/>
        <v>24.313369301428121</v>
      </c>
      <c r="M20">
        <f t="shared" ca="1" si="4"/>
        <v>25</v>
      </c>
      <c r="N20">
        <f t="shared" ca="1" si="5"/>
        <v>6.8209478614340018</v>
      </c>
      <c r="O20">
        <f t="shared" ca="1" si="6"/>
        <v>7</v>
      </c>
      <c r="P20" t="str">
        <f t="shared" ca="1" si="7"/>
        <v>(723, 91, 268, 'Workers Compensation', 'Closed', '2024-06-18', '2025-12-05', 771049.59),</v>
      </c>
    </row>
    <row r="21" spans="1:16" x14ac:dyDescent="0.25">
      <c r="A21">
        <v>20</v>
      </c>
      <c r="B21">
        <v>1773</v>
      </c>
      <c r="C21">
        <f ca="1">VLOOKUP(M21, [1]client!$A$2:$B$26,2, FALSE)</f>
        <v>941</v>
      </c>
      <c r="D21">
        <f ca="1">VLOOKUP(O21,[2]attorney!$A$2:$B$26,2,FALSE)</f>
        <v>503</v>
      </c>
      <c r="E21" t="str">
        <f t="shared" ca="1" si="0"/>
        <v>Personal Injury</v>
      </c>
      <c r="F21" t="s">
        <v>13</v>
      </c>
      <c r="G21" s="4">
        <v>45476</v>
      </c>
      <c r="H21" s="4">
        <v>46022</v>
      </c>
      <c r="I21" s="2">
        <v>788680.14</v>
      </c>
      <c r="J21">
        <f t="shared" ca="1" si="1"/>
        <v>1.2331727193493813</v>
      </c>
      <c r="K21">
        <f t="shared" ca="1" si="2"/>
        <v>3.1794732833772708</v>
      </c>
      <c r="L21">
        <f t="shared" ca="1" si="3"/>
        <v>23.224110817551232</v>
      </c>
      <c r="M21">
        <f t="shared" ca="1" si="4"/>
        <v>24</v>
      </c>
      <c r="N21">
        <f t="shared" ca="1" si="5"/>
        <v>23.288697492563248</v>
      </c>
      <c r="O21">
        <f t="shared" ca="1" si="6"/>
        <v>24</v>
      </c>
      <c r="P21" t="str">
        <f t="shared" ca="1" si="7"/>
        <v>(1773, 941, 503, 'Personal Injury', 'Closed', '2024-07-03', '2025-12-31', 788680.14),</v>
      </c>
    </row>
    <row r="22" spans="1:16" x14ac:dyDescent="0.25">
      <c r="A22">
        <v>21</v>
      </c>
      <c r="B22">
        <v>1079</v>
      </c>
      <c r="C22">
        <f ca="1">VLOOKUP(M22, [1]client!$A$2:$B$26,2, FALSE)</f>
        <v>466</v>
      </c>
      <c r="D22">
        <f ca="1">VLOOKUP(O22,[2]attorney!$A$2:$B$26,2,FALSE)</f>
        <v>663</v>
      </c>
      <c r="E22" t="str">
        <f t="shared" ca="1" si="0"/>
        <v>Workers Compensation</v>
      </c>
      <c r="F22" t="s">
        <v>10</v>
      </c>
      <c r="G22" s="4">
        <v>45519</v>
      </c>
      <c r="H22" s="5" t="s">
        <v>8</v>
      </c>
      <c r="I22" s="2">
        <v>378269.52</v>
      </c>
      <c r="J22">
        <f t="shared" ca="1" si="1"/>
        <v>0.73169173788482489</v>
      </c>
      <c r="K22">
        <f t="shared" ca="1" si="2"/>
        <v>3.910731441097326E-2</v>
      </c>
      <c r="L22">
        <f t="shared" ca="1" si="3"/>
        <v>8.1975796594422423</v>
      </c>
      <c r="M22">
        <f t="shared" ca="1" si="4"/>
        <v>9</v>
      </c>
      <c r="N22">
        <f t="shared" ca="1" si="5"/>
        <v>7.0361399428479272</v>
      </c>
      <c r="O22">
        <f t="shared" ca="1" si="6"/>
        <v>8</v>
      </c>
      <c r="P22" t="str">
        <f t="shared" ca="1" si="7"/>
        <v>(1079, 466, 663, 'Workers Compensation', 'Open', '2024-08-15', '', 378269.52),</v>
      </c>
    </row>
    <row r="23" spans="1:16" x14ac:dyDescent="0.25">
      <c r="A23">
        <v>22</v>
      </c>
      <c r="B23">
        <v>123</v>
      </c>
      <c r="C23">
        <f ca="1">VLOOKUP(M23, [1]client!$A$2:$B$26,2, FALSE)</f>
        <v>1258</v>
      </c>
      <c r="D23">
        <f ca="1">VLOOKUP(O23,[2]attorney!$A$2:$B$26,2,FALSE)</f>
        <v>664</v>
      </c>
      <c r="E23" t="str">
        <f t="shared" ca="1" si="0"/>
        <v>Workers Compensation</v>
      </c>
      <c r="F23" t="s">
        <v>10</v>
      </c>
      <c r="G23" s="4">
        <v>45552</v>
      </c>
      <c r="H23" s="5" t="s">
        <v>8</v>
      </c>
      <c r="I23" s="2">
        <v>395642.57</v>
      </c>
      <c r="J23">
        <f t="shared" ca="1" si="1"/>
        <v>0.55288007710937359</v>
      </c>
      <c r="K23">
        <f t="shared" ca="1" si="2"/>
        <v>2.1754333972322417</v>
      </c>
      <c r="L23">
        <f t="shared" ca="1" si="3"/>
        <v>5.0154301302875988</v>
      </c>
      <c r="M23">
        <f t="shared" ca="1" si="4"/>
        <v>6</v>
      </c>
      <c r="N23">
        <f t="shared" ca="1" si="5"/>
        <v>8.9309125202581239</v>
      </c>
      <c r="O23">
        <f t="shared" ca="1" si="6"/>
        <v>9</v>
      </c>
      <c r="P23" t="str">
        <f t="shared" ca="1" si="7"/>
        <v>(123, 1258, 664, 'Workers Compensation', 'Open', '2024-09-17', '', 395642.57),</v>
      </c>
    </row>
    <row r="24" spans="1:16" x14ac:dyDescent="0.25">
      <c r="A24">
        <v>23</v>
      </c>
      <c r="B24">
        <v>1091</v>
      </c>
      <c r="C24">
        <f ca="1">VLOOKUP(M24, [1]client!$A$2:$B$26,2, FALSE)</f>
        <v>1467</v>
      </c>
      <c r="D24">
        <f ca="1">VLOOKUP(O24,[2]attorney!$A$2:$B$26,2,FALSE)</f>
        <v>1134</v>
      </c>
      <c r="E24" t="str">
        <f t="shared" ca="1" si="0"/>
        <v>Workers Compensation</v>
      </c>
      <c r="F24" t="s">
        <v>13</v>
      </c>
      <c r="G24" s="4">
        <v>45597</v>
      </c>
      <c r="H24" s="4">
        <v>46064</v>
      </c>
      <c r="I24" s="2">
        <v>963773.63</v>
      </c>
      <c r="J24">
        <f t="shared" ca="1" si="1"/>
        <v>0.1409278716541762</v>
      </c>
      <c r="K24">
        <f t="shared" ca="1" si="2"/>
        <v>3.2928964276375345</v>
      </c>
      <c r="L24">
        <f t="shared" ca="1" si="3"/>
        <v>17.764506885642771</v>
      </c>
      <c r="M24">
        <f t="shared" ca="1" si="4"/>
        <v>18</v>
      </c>
      <c r="N24">
        <f t="shared" ca="1" si="5"/>
        <v>1.8797239644937791</v>
      </c>
      <c r="O24">
        <f t="shared" ca="1" si="6"/>
        <v>2</v>
      </c>
      <c r="P24" t="str">
        <f t="shared" ca="1" si="7"/>
        <v>(1091, 1467, 1134, 'Workers Compensation', 'Closed', '2024-11-01', '2026-02-11', 963773.63),</v>
      </c>
    </row>
    <row r="25" spans="1:16" x14ac:dyDescent="0.25">
      <c r="A25">
        <v>24</v>
      </c>
      <c r="B25">
        <v>1538</v>
      </c>
      <c r="C25">
        <f ca="1">VLOOKUP(M25, [1]client!$A$2:$B$26,2, FALSE)</f>
        <v>1258</v>
      </c>
      <c r="D25">
        <f ca="1">VLOOKUP(O25,[2]attorney!$A$2:$B$26,2,FALSE)</f>
        <v>1766</v>
      </c>
      <c r="E25" t="str">
        <f t="shared" ca="1" si="0"/>
        <v>Workers Compensation</v>
      </c>
      <c r="F25" t="s">
        <v>10</v>
      </c>
      <c r="G25" s="4">
        <v>45621</v>
      </c>
      <c r="H25" s="5" t="s">
        <v>8</v>
      </c>
      <c r="I25" s="2">
        <v>946378.56</v>
      </c>
      <c r="J25">
        <f t="shared" ca="1" si="1"/>
        <v>0.54375047316846903</v>
      </c>
      <c r="K25">
        <f t="shared" ca="1" si="2"/>
        <v>2.1458419420507222</v>
      </c>
      <c r="L25">
        <f t="shared" ca="1" si="3"/>
        <v>5.1347056588551574</v>
      </c>
      <c r="M25">
        <f t="shared" ca="1" si="4"/>
        <v>6</v>
      </c>
      <c r="N25">
        <f t="shared" ca="1" si="5"/>
        <v>22.818799207848233</v>
      </c>
      <c r="O25">
        <f t="shared" ca="1" si="6"/>
        <v>23</v>
      </c>
      <c r="P25" t="str">
        <f t="shared" ca="1" si="7"/>
        <v>(1538, 1258, 1766, 'Workers Compensation', 'Open', '2024-11-25', '', 946378.56),</v>
      </c>
    </row>
    <row r="26" spans="1:16" x14ac:dyDescent="0.25">
      <c r="A26">
        <v>25</v>
      </c>
      <c r="B26">
        <v>1362</v>
      </c>
      <c r="C26">
        <f ca="1">VLOOKUP(M26, [1]client!$A$2:$B$26,2, FALSE)</f>
        <v>53</v>
      </c>
      <c r="D26">
        <f ca="1">VLOOKUP(O26,[2]attorney!$A$2:$B$26,2,FALSE)</f>
        <v>1422</v>
      </c>
      <c r="E26" t="str">
        <f t="shared" ca="1" si="0"/>
        <v>Workers Compensation</v>
      </c>
      <c r="F26" t="s">
        <v>10</v>
      </c>
      <c r="G26" s="4">
        <v>45622</v>
      </c>
      <c r="H26" s="5" t="s">
        <v>8</v>
      </c>
      <c r="I26" s="2">
        <v>462835.94</v>
      </c>
      <c r="J26">
        <f t="shared" ca="1" si="1"/>
        <v>0.20222916754299791</v>
      </c>
      <c r="K26">
        <f t="shared" ca="1" si="2"/>
        <v>3.4272056093529759</v>
      </c>
      <c r="L26">
        <f t="shared" ca="1" si="3"/>
        <v>16.123600136748788</v>
      </c>
      <c r="M26">
        <f t="shared" ca="1" si="4"/>
        <v>17</v>
      </c>
      <c r="N26">
        <f t="shared" ca="1" si="5"/>
        <v>4.3459423072903789</v>
      </c>
      <c r="O26">
        <f t="shared" ca="1" si="6"/>
        <v>5</v>
      </c>
      <c r="P26" t="str">
        <f t="shared" ca="1" si="7"/>
        <v>(1362, 53, 1422, 'Workers Compensation', 'Open', '2024-11-26', '', 462835.94),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2026-03-18T11:15:18Z</dcterms:created>
  <dcterms:modified xsi:type="dcterms:W3CDTF">2026-03-19T04:05:11Z</dcterms:modified>
</cp:coreProperties>
</file>