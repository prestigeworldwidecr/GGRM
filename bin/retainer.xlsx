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"/>
    </mc:Choice>
  </mc:AlternateContent>
  <bookViews>
    <workbookView minimized="1" xWindow="0" yWindow="0" windowWidth="20490" windowHeight="7755"/>
  </bookViews>
  <sheets>
    <sheet name="retainer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G1" i="1" l="1"/>
  <c r="F3" i="1" l="1"/>
  <c r="C3" i="1" s="1"/>
  <c r="G3" i="1" s="1"/>
  <c r="F4" i="1"/>
  <c r="C4" i="1" s="1"/>
  <c r="G4" i="1" s="1"/>
  <c r="F5" i="1"/>
  <c r="C5" i="1" s="1"/>
  <c r="F6" i="1"/>
  <c r="C6" i="1" s="1"/>
  <c r="F7" i="1"/>
  <c r="C7" i="1" s="1"/>
  <c r="G7" i="1" s="1"/>
  <c r="F8" i="1"/>
  <c r="C8" i="1" s="1"/>
  <c r="G8" i="1" s="1"/>
  <c r="F9" i="1"/>
  <c r="C9" i="1" s="1"/>
  <c r="F10" i="1"/>
  <c r="C10" i="1" s="1"/>
  <c r="F11" i="1"/>
  <c r="C11" i="1" s="1"/>
  <c r="G11" i="1" s="1"/>
  <c r="F12" i="1"/>
  <c r="C12" i="1" s="1"/>
  <c r="G12" i="1" s="1"/>
  <c r="F13" i="1"/>
  <c r="C13" i="1" s="1"/>
  <c r="F14" i="1"/>
  <c r="C14" i="1" s="1"/>
  <c r="F15" i="1"/>
  <c r="C15" i="1" s="1"/>
  <c r="G15" i="1" s="1"/>
  <c r="F16" i="1"/>
  <c r="C16" i="1" s="1"/>
  <c r="G16" i="1" s="1"/>
  <c r="F17" i="1"/>
  <c r="C17" i="1" s="1"/>
  <c r="F18" i="1"/>
  <c r="C18" i="1" s="1"/>
  <c r="F19" i="1"/>
  <c r="C19" i="1" s="1"/>
  <c r="G19" i="1" s="1"/>
  <c r="F20" i="1"/>
  <c r="C20" i="1" s="1"/>
  <c r="G20" i="1" s="1"/>
  <c r="F21" i="1"/>
  <c r="C21" i="1" s="1"/>
  <c r="F22" i="1"/>
  <c r="C22" i="1" s="1"/>
  <c r="F23" i="1"/>
  <c r="C23" i="1" s="1"/>
  <c r="G23" i="1" s="1"/>
  <c r="F24" i="1"/>
  <c r="C24" i="1" s="1"/>
  <c r="G24" i="1" s="1"/>
  <c r="F25" i="1"/>
  <c r="C25" i="1" s="1"/>
  <c r="F26" i="1"/>
  <c r="C26" i="1" s="1"/>
  <c r="F2" i="1"/>
  <c r="C2" i="1" s="1"/>
  <c r="G2" i="1" s="1"/>
  <c r="G26" i="1" l="1"/>
  <c r="G22" i="1"/>
  <c r="G18" i="1"/>
  <c r="G14" i="1"/>
  <c r="G10" i="1"/>
  <c r="G6" i="1"/>
  <c r="G25" i="1"/>
  <c r="G21" i="1"/>
  <c r="G17" i="1"/>
  <c r="G13" i="1"/>
  <c r="G9" i="1"/>
  <c r="G5" i="1"/>
</calcChain>
</file>

<file path=xl/sharedStrings.xml><?xml version="1.0" encoding="utf-8"?>
<sst xmlns="http://schemas.openxmlformats.org/spreadsheetml/2006/main" count="5" uniqueCount="5">
  <si>
    <t>retainer_id</t>
  </si>
  <si>
    <t>case_id</t>
  </si>
  <si>
    <t>retainer_pct</t>
  </si>
  <si>
    <t>signed_date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</si>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</sst>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e"/>
    </sheetNames>
    <sheetDataSet>
      <sheetData sheetId="0">
        <row r="2">
          <cell r="A2">
            <v>1</v>
          </cell>
          <cell r="B2">
            <v>222</v>
          </cell>
        </row>
        <row r="3">
          <cell r="A3">
            <v>2</v>
          </cell>
          <cell r="B3">
            <v>1674</v>
          </cell>
        </row>
        <row r="4">
          <cell r="A4">
            <v>3</v>
          </cell>
          <cell r="B4">
            <v>638</v>
          </cell>
        </row>
        <row r="5">
          <cell r="A5">
            <v>4</v>
          </cell>
          <cell r="B5">
            <v>804</v>
          </cell>
        </row>
        <row r="6">
          <cell r="A6">
            <v>5</v>
          </cell>
          <cell r="B6">
            <v>1896</v>
          </cell>
        </row>
        <row r="7">
          <cell r="A7">
            <v>6</v>
          </cell>
          <cell r="B7">
            <v>548</v>
          </cell>
        </row>
        <row r="8">
          <cell r="A8">
            <v>7</v>
          </cell>
          <cell r="B8">
            <v>1401</v>
          </cell>
        </row>
        <row r="9">
          <cell r="A9">
            <v>8</v>
          </cell>
          <cell r="B9">
            <v>1341</v>
          </cell>
        </row>
        <row r="10">
          <cell r="A10">
            <v>9</v>
          </cell>
          <cell r="B10">
            <v>1992</v>
          </cell>
        </row>
        <row r="11">
          <cell r="A11">
            <v>10</v>
          </cell>
          <cell r="B11">
            <v>346</v>
          </cell>
        </row>
        <row r="12">
          <cell r="A12">
            <v>11</v>
          </cell>
          <cell r="B12">
            <v>1884</v>
          </cell>
        </row>
        <row r="13">
          <cell r="A13">
            <v>12</v>
          </cell>
          <cell r="B13">
            <v>92</v>
          </cell>
        </row>
        <row r="14">
          <cell r="A14">
            <v>13</v>
          </cell>
          <cell r="B14">
            <v>717</v>
          </cell>
        </row>
        <row r="15">
          <cell r="A15">
            <v>14</v>
          </cell>
          <cell r="B15">
            <v>1520</v>
          </cell>
        </row>
        <row r="16">
          <cell r="A16">
            <v>15</v>
          </cell>
          <cell r="B16">
            <v>83</v>
          </cell>
        </row>
        <row r="17">
          <cell r="A17">
            <v>16</v>
          </cell>
          <cell r="B17">
            <v>1900</v>
          </cell>
        </row>
        <row r="18">
          <cell r="A18">
            <v>17</v>
          </cell>
          <cell r="B18">
            <v>1343</v>
          </cell>
        </row>
        <row r="19">
          <cell r="A19">
            <v>18</v>
          </cell>
          <cell r="B19">
            <v>50</v>
          </cell>
        </row>
        <row r="20">
          <cell r="A20">
            <v>19</v>
          </cell>
          <cell r="B20">
            <v>723</v>
          </cell>
        </row>
        <row r="21">
          <cell r="A21">
            <v>20</v>
          </cell>
          <cell r="B21">
            <v>1773</v>
          </cell>
        </row>
        <row r="22">
          <cell r="A22">
            <v>21</v>
          </cell>
          <cell r="B22">
            <v>1079</v>
          </cell>
        </row>
        <row r="23">
          <cell r="A23">
            <v>22</v>
          </cell>
          <cell r="B23">
            <v>123</v>
          </cell>
        </row>
        <row r="24">
          <cell r="A24">
            <v>23</v>
          </cell>
          <cell r="B24">
            <v>1091</v>
          </cell>
        </row>
        <row r="25">
          <cell r="A25">
            <v>24</v>
          </cell>
          <cell r="B25">
            <v>1538</v>
          </cell>
        </row>
        <row r="26">
          <cell r="A26">
            <v>25</v>
          </cell>
          <cell r="B26">
            <v>1362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C1" sqref="C1"/>
    </sheetView>
  </sheetViews>
  <sheetFormatPr defaultRowHeight="15" x14ac:dyDescent="0.25"/>
  <cols>
    <col min="2" max="3" width="10.85546875" bestFit="1" customWidth="1"/>
    <col min="4" max="4" width="11.85546875" bestFit="1" customWidth="1"/>
    <col min="5" max="5" width="13.140625" bestFit="1" customWidth="1"/>
  </cols>
  <sheetData>
    <row r="1" spans="1:7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G1" t="str">
        <f>CONCATENATE("(",B1, ", ", C1,", ", D1,", ", E1, ")")</f>
        <v>(retainer_id, case_id, retainer_pct, signed_date)</v>
      </c>
    </row>
    <row r="2" spans="1:7" x14ac:dyDescent="0.25">
      <c r="A2">
        <v>1</v>
      </c>
      <c r="B2">
        <v>78</v>
      </c>
      <c r="C2">
        <f ca="1">VLOOKUP(F2,[1]case!$A$2:$B$26,2,FALSE)</f>
        <v>1884</v>
      </c>
      <c r="D2">
        <f ca="1">ROUNDUP(RAND()*100, 2)</f>
        <v>64.12</v>
      </c>
      <c r="E2" s="2">
        <v>45590</v>
      </c>
      <c r="F2">
        <f ca="1">ROUNDUP(RAND()*25, 0)</f>
        <v>11</v>
      </c>
      <c r="G2" t="str">
        <f ca="1">CONCATENATE("(",B2,", ", C2, ", ", D2, ", ", CHAR(39),  TEXT(E2, "yyyy-mm-dd"), "'),")</f>
        <v>(78, 1884, 64.12, '2024-10-25'),</v>
      </c>
    </row>
    <row r="3" spans="1:7" x14ac:dyDescent="0.25">
      <c r="A3">
        <v>2</v>
      </c>
      <c r="B3">
        <v>17</v>
      </c>
      <c r="C3">
        <f ca="1">VLOOKUP(F3,[1]case!$A$2:$B$26,2,FALSE)</f>
        <v>1884</v>
      </c>
      <c r="D3">
        <f t="shared" ref="D3:D26" ca="1" si="0">ROUNDUP(RAND()*100, 2)</f>
        <v>2.2699999999999996</v>
      </c>
      <c r="E3" s="2">
        <v>45602</v>
      </c>
      <c r="F3">
        <f t="shared" ref="F3:F26" ca="1" si="1">ROUNDUP(RAND()*25, 0)</f>
        <v>11</v>
      </c>
      <c r="G3" t="str">
        <f t="shared" ref="G3:G26" ca="1" si="2">CONCATENATE("(",B3,", ", C3, ", ", D3, ", ", CHAR(39),  TEXT(E3, "yyyy-mm-dd"), "'),")</f>
        <v>(17, 1884, 2.27, '2024-11-06'),</v>
      </c>
    </row>
    <row r="4" spans="1:7" x14ac:dyDescent="0.25">
      <c r="A4">
        <v>3</v>
      </c>
      <c r="B4">
        <v>76</v>
      </c>
      <c r="C4">
        <f ca="1">VLOOKUP(F4,[1]case!$A$2:$B$26,2,FALSE)</f>
        <v>92</v>
      </c>
      <c r="D4">
        <f t="shared" ca="1" si="0"/>
        <v>96.77000000000001</v>
      </c>
      <c r="E4" s="2">
        <v>45628</v>
      </c>
      <c r="F4">
        <f t="shared" ca="1" si="1"/>
        <v>12</v>
      </c>
      <c r="G4" t="str">
        <f t="shared" ca="1" si="2"/>
        <v>(76, 92, 96.77, '2024-12-02'),</v>
      </c>
    </row>
    <row r="5" spans="1:7" x14ac:dyDescent="0.25">
      <c r="A5">
        <v>4</v>
      </c>
      <c r="B5">
        <v>74</v>
      </c>
      <c r="C5">
        <f ca="1">VLOOKUP(F5,[1]case!$A$2:$B$26,2,FALSE)</f>
        <v>346</v>
      </c>
      <c r="D5">
        <f t="shared" ca="1" si="0"/>
        <v>91.59</v>
      </c>
      <c r="E5" s="2">
        <v>45684</v>
      </c>
      <c r="F5">
        <f t="shared" ca="1" si="1"/>
        <v>10</v>
      </c>
      <c r="G5" t="str">
        <f t="shared" ca="1" si="2"/>
        <v>(74, 346, 91.59, '2025-01-27'),</v>
      </c>
    </row>
    <row r="6" spans="1:7" x14ac:dyDescent="0.25">
      <c r="A6">
        <v>5</v>
      </c>
      <c r="B6">
        <v>9</v>
      </c>
      <c r="C6">
        <f ca="1">VLOOKUP(F6,[1]case!$A$2:$B$26,2,FALSE)</f>
        <v>723</v>
      </c>
      <c r="D6">
        <f t="shared" ca="1" si="0"/>
        <v>5.7799999999999994</v>
      </c>
      <c r="E6" s="2">
        <v>45693</v>
      </c>
      <c r="F6">
        <f t="shared" ca="1" si="1"/>
        <v>19</v>
      </c>
      <c r="G6" t="str">
        <f t="shared" ca="1" si="2"/>
        <v>(9, 723, 5.78, '2025-02-05'),</v>
      </c>
    </row>
    <row r="7" spans="1:7" x14ac:dyDescent="0.25">
      <c r="A7">
        <v>6</v>
      </c>
      <c r="B7">
        <v>79</v>
      </c>
      <c r="C7">
        <f ca="1">VLOOKUP(F7,[1]case!$A$2:$B$26,2,FALSE)</f>
        <v>50</v>
      </c>
      <c r="D7">
        <f t="shared" ca="1" si="0"/>
        <v>38.86</v>
      </c>
      <c r="E7" s="2">
        <v>45749</v>
      </c>
      <c r="F7">
        <f t="shared" ca="1" si="1"/>
        <v>18</v>
      </c>
      <c r="G7" t="str">
        <f t="shared" ca="1" si="2"/>
        <v>(79, 50, 38.86, '2025-04-02'),</v>
      </c>
    </row>
    <row r="8" spans="1:7" x14ac:dyDescent="0.25">
      <c r="A8">
        <v>7</v>
      </c>
      <c r="B8">
        <v>4</v>
      </c>
      <c r="C8">
        <f ca="1">VLOOKUP(F8,[1]case!$A$2:$B$26,2,FALSE)</f>
        <v>123</v>
      </c>
      <c r="D8">
        <f t="shared" ca="1" si="0"/>
        <v>83.61</v>
      </c>
      <c r="E8" s="2">
        <v>45750</v>
      </c>
      <c r="F8">
        <f t="shared" ca="1" si="1"/>
        <v>22</v>
      </c>
      <c r="G8" t="str">
        <f t="shared" ca="1" si="2"/>
        <v>(4, 123, 83.61, '2025-04-03'),</v>
      </c>
    </row>
    <row r="9" spans="1:7" x14ac:dyDescent="0.25">
      <c r="A9">
        <v>8</v>
      </c>
      <c r="B9">
        <v>62</v>
      </c>
      <c r="C9">
        <f ca="1">VLOOKUP(F9,[1]case!$A$2:$B$26,2,FALSE)</f>
        <v>1341</v>
      </c>
      <c r="D9">
        <f t="shared" ca="1" si="0"/>
        <v>2.48</v>
      </c>
      <c r="E9" s="2">
        <v>45757</v>
      </c>
      <c r="F9">
        <f t="shared" ca="1" si="1"/>
        <v>8</v>
      </c>
      <c r="G9" t="str">
        <f t="shared" ca="1" si="2"/>
        <v>(62, 1341, 2.48, '2025-04-10'),</v>
      </c>
    </row>
    <row r="10" spans="1:7" x14ac:dyDescent="0.25">
      <c r="A10">
        <v>9</v>
      </c>
      <c r="B10">
        <v>63</v>
      </c>
      <c r="C10">
        <f ca="1">VLOOKUP(F10,[1]case!$A$2:$B$26,2,FALSE)</f>
        <v>1091</v>
      </c>
      <c r="D10">
        <f t="shared" ca="1" si="0"/>
        <v>22.76</v>
      </c>
      <c r="E10" s="2">
        <v>45763</v>
      </c>
      <c r="F10">
        <f t="shared" ca="1" si="1"/>
        <v>23</v>
      </c>
      <c r="G10" t="str">
        <f t="shared" ca="1" si="2"/>
        <v>(63, 1091, 22.76, '2025-04-16'),</v>
      </c>
    </row>
    <row r="11" spans="1:7" x14ac:dyDescent="0.25">
      <c r="A11">
        <v>10</v>
      </c>
      <c r="B11">
        <v>24</v>
      </c>
      <c r="C11">
        <f ca="1">VLOOKUP(F11,[1]case!$A$2:$B$26,2,FALSE)</f>
        <v>804</v>
      </c>
      <c r="D11">
        <f t="shared" ca="1" si="0"/>
        <v>84.240000000000009</v>
      </c>
      <c r="E11" s="2">
        <v>45778</v>
      </c>
      <c r="F11">
        <f t="shared" ca="1" si="1"/>
        <v>4</v>
      </c>
      <c r="G11" t="str">
        <f t="shared" ca="1" si="2"/>
        <v>(24, 804, 84.24, '2025-05-01'),</v>
      </c>
    </row>
    <row r="12" spans="1:7" x14ac:dyDescent="0.25">
      <c r="A12">
        <v>11</v>
      </c>
      <c r="B12">
        <v>1</v>
      </c>
      <c r="C12">
        <f ca="1">VLOOKUP(F12,[1]case!$A$2:$B$26,2,FALSE)</f>
        <v>1884</v>
      </c>
      <c r="D12">
        <f t="shared" ca="1" si="0"/>
        <v>69.540000000000006</v>
      </c>
      <c r="E12" s="2">
        <v>45783</v>
      </c>
      <c r="F12">
        <f t="shared" ca="1" si="1"/>
        <v>11</v>
      </c>
      <c r="G12" t="str">
        <f t="shared" ca="1" si="2"/>
        <v>(1, 1884, 69.54, '2025-05-06'),</v>
      </c>
    </row>
    <row r="13" spans="1:7" x14ac:dyDescent="0.25">
      <c r="A13">
        <v>12</v>
      </c>
      <c r="B13">
        <v>26</v>
      </c>
      <c r="C13">
        <f ca="1">VLOOKUP(F13,[1]case!$A$2:$B$26,2,FALSE)</f>
        <v>346</v>
      </c>
      <c r="D13">
        <f t="shared" ca="1" si="0"/>
        <v>55.809999999999995</v>
      </c>
      <c r="E13" s="2">
        <v>45784</v>
      </c>
      <c r="F13">
        <f t="shared" ca="1" si="1"/>
        <v>10</v>
      </c>
      <c r="G13" t="str">
        <f t="shared" ca="1" si="2"/>
        <v>(26, 346, 55.81, '2025-05-07'),</v>
      </c>
    </row>
    <row r="14" spans="1:7" x14ac:dyDescent="0.25">
      <c r="A14">
        <v>13</v>
      </c>
      <c r="B14">
        <v>71</v>
      </c>
      <c r="C14">
        <f ca="1">VLOOKUP(F14,[1]case!$A$2:$B$26,2,FALSE)</f>
        <v>638</v>
      </c>
      <c r="D14">
        <f t="shared" ca="1" si="0"/>
        <v>14.379999999999999</v>
      </c>
      <c r="E14" s="2">
        <v>45785</v>
      </c>
      <c r="F14">
        <f t="shared" ca="1" si="1"/>
        <v>3</v>
      </c>
      <c r="G14" t="str">
        <f t="shared" ca="1" si="2"/>
        <v>(71, 638, 14.38, '2025-05-08'),</v>
      </c>
    </row>
    <row r="15" spans="1:7" x14ac:dyDescent="0.25">
      <c r="A15">
        <v>14</v>
      </c>
      <c r="B15">
        <v>14</v>
      </c>
      <c r="C15">
        <f ca="1">VLOOKUP(F15,[1]case!$A$2:$B$26,2,FALSE)</f>
        <v>1362</v>
      </c>
      <c r="D15">
        <f t="shared" ca="1" si="0"/>
        <v>3.8</v>
      </c>
      <c r="E15" s="2">
        <v>45824</v>
      </c>
      <c r="F15">
        <f t="shared" ca="1" si="1"/>
        <v>25</v>
      </c>
      <c r="G15" t="str">
        <f t="shared" ca="1" si="2"/>
        <v>(14, 1362, 3.8, '2025-06-16'),</v>
      </c>
    </row>
    <row r="16" spans="1:7" x14ac:dyDescent="0.25">
      <c r="A16">
        <v>15</v>
      </c>
      <c r="B16">
        <v>2</v>
      </c>
      <c r="C16">
        <f ca="1">VLOOKUP(F16,[1]case!$A$2:$B$26,2,FALSE)</f>
        <v>1773</v>
      </c>
      <c r="D16">
        <f t="shared" ca="1" si="0"/>
        <v>39.809999999999995</v>
      </c>
      <c r="E16" s="2">
        <v>45828</v>
      </c>
      <c r="F16">
        <f t="shared" ca="1" si="1"/>
        <v>20</v>
      </c>
      <c r="G16" t="str">
        <f t="shared" ca="1" si="2"/>
        <v>(2, 1773, 39.81, '2025-06-20'),</v>
      </c>
    </row>
    <row r="17" spans="1:7" x14ac:dyDescent="0.25">
      <c r="A17">
        <v>16</v>
      </c>
      <c r="B17">
        <v>60</v>
      </c>
      <c r="C17">
        <f ca="1">VLOOKUP(F17,[1]case!$A$2:$B$26,2,FALSE)</f>
        <v>1992</v>
      </c>
      <c r="D17">
        <f t="shared" ca="1" si="0"/>
        <v>83.9</v>
      </c>
      <c r="E17" s="2">
        <v>45834</v>
      </c>
      <c r="F17">
        <f t="shared" ca="1" si="1"/>
        <v>9</v>
      </c>
      <c r="G17" t="str">
        <f t="shared" ca="1" si="2"/>
        <v>(60, 1992, 83.9, '2025-06-26'),</v>
      </c>
    </row>
    <row r="18" spans="1:7" x14ac:dyDescent="0.25">
      <c r="A18">
        <v>17</v>
      </c>
      <c r="B18">
        <v>99</v>
      </c>
      <c r="C18">
        <f ca="1">VLOOKUP(F18,[1]case!$A$2:$B$26,2,FALSE)</f>
        <v>222</v>
      </c>
      <c r="D18">
        <f t="shared" ca="1" si="0"/>
        <v>65.88000000000001</v>
      </c>
      <c r="E18" s="2">
        <v>45867</v>
      </c>
      <c r="F18">
        <f t="shared" ca="1" si="1"/>
        <v>1</v>
      </c>
      <c r="G18" t="str">
        <f t="shared" ca="1" si="2"/>
        <v>(99, 222, 65.88, '2025-07-29'),</v>
      </c>
    </row>
    <row r="19" spans="1:7" x14ac:dyDescent="0.25">
      <c r="A19">
        <v>18</v>
      </c>
      <c r="B19">
        <v>40</v>
      </c>
      <c r="C19">
        <f ca="1">VLOOKUP(F19,[1]case!$A$2:$B$26,2,FALSE)</f>
        <v>123</v>
      </c>
      <c r="D19">
        <f t="shared" ca="1" si="0"/>
        <v>41.739999999999995</v>
      </c>
      <c r="E19" s="2">
        <v>45905</v>
      </c>
      <c r="F19">
        <f t="shared" ca="1" si="1"/>
        <v>22</v>
      </c>
      <c r="G19" t="str">
        <f t="shared" ca="1" si="2"/>
        <v>(40, 123, 41.74, '2025-09-05'),</v>
      </c>
    </row>
    <row r="20" spans="1:7" x14ac:dyDescent="0.25">
      <c r="A20">
        <v>19</v>
      </c>
      <c r="B20">
        <v>80</v>
      </c>
      <c r="C20">
        <f ca="1">VLOOKUP(F20,[1]case!$A$2:$B$26,2,FALSE)</f>
        <v>723</v>
      </c>
      <c r="D20">
        <f t="shared" ca="1" si="0"/>
        <v>22.860000000000003</v>
      </c>
      <c r="E20" s="2">
        <v>45911</v>
      </c>
      <c r="F20">
        <f t="shared" ca="1" si="1"/>
        <v>19</v>
      </c>
      <c r="G20" t="str">
        <f t="shared" ca="1" si="2"/>
        <v>(80, 723, 22.86, '2025-09-11'),</v>
      </c>
    </row>
    <row r="21" spans="1:7" x14ac:dyDescent="0.25">
      <c r="A21">
        <v>20</v>
      </c>
      <c r="B21">
        <v>82</v>
      </c>
      <c r="C21">
        <f ca="1">VLOOKUP(F21,[1]case!$A$2:$B$26,2,FALSE)</f>
        <v>50</v>
      </c>
      <c r="D21">
        <f t="shared" ca="1" si="0"/>
        <v>49.29</v>
      </c>
      <c r="E21" s="2">
        <v>45916</v>
      </c>
      <c r="F21">
        <f t="shared" ca="1" si="1"/>
        <v>18</v>
      </c>
      <c r="G21" t="str">
        <f t="shared" ca="1" si="2"/>
        <v>(82, 50, 49.29, '2025-09-16'),</v>
      </c>
    </row>
    <row r="22" spans="1:7" x14ac:dyDescent="0.25">
      <c r="A22">
        <v>21</v>
      </c>
      <c r="B22">
        <v>41</v>
      </c>
      <c r="C22">
        <f ca="1">VLOOKUP(F22,[1]case!$A$2:$B$26,2,FALSE)</f>
        <v>1341</v>
      </c>
      <c r="D22">
        <f t="shared" ca="1" si="0"/>
        <v>49.85</v>
      </c>
      <c r="E22" s="2">
        <v>45930</v>
      </c>
      <c r="F22">
        <f t="shared" ca="1" si="1"/>
        <v>8</v>
      </c>
      <c r="G22" t="str">
        <f t="shared" ca="1" si="2"/>
        <v>(41, 1341, 49.85, '2025-09-30'),</v>
      </c>
    </row>
    <row r="23" spans="1:7" x14ac:dyDescent="0.25">
      <c r="A23">
        <v>22</v>
      </c>
      <c r="B23">
        <v>53</v>
      </c>
      <c r="C23">
        <f ca="1">VLOOKUP(F23,[1]case!$A$2:$B$26,2,FALSE)</f>
        <v>1362</v>
      </c>
      <c r="D23">
        <f t="shared" ca="1" si="0"/>
        <v>71.17</v>
      </c>
      <c r="E23" s="2">
        <v>45936</v>
      </c>
      <c r="F23">
        <f t="shared" ca="1" si="1"/>
        <v>25</v>
      </c>
      <c r="G23" t="str">
        <f t="shared" ca="1" si="2"/>
        <v>(53, 1362, 71.17, '2025-10-06'),</v>
      </c>
    </row>
    <row r="24" spans="1:7" x14ac:dyDescent="0.25">
      <c r="A24">
        <v>23</v>
      </c>
      <c r="B24">
        <v>98</v>
      </c>
      <c r="C24">
        <f ca="1">VLOOKUP(F24,[1]case!$A$2:$B$26,2,FALSE)</f>
        <v>723</v>
      </c>
      <c r="D24">
        <f t="shared" ca="1" si="0"/>
        <v>61.01</v>
      </c>
      <c r="E24" s="2">
        <v>45965</v>
      </c>
      <c r="F24">
        <f t="shared" ca="1" si="1"/>
        <v>19</v>
      </c>
      <c r="G24" t="str">
        <f t="shared" ca="1" si="2"/>
        <v>(98, 723, 61.01, '2025-11-04'),</v>
      </c>
    </row>
    <row r="25" spans="1:7" x14ac:dyDescent="0.25">
      <c r="A25">
        <v>24</v>
      </c>
      <c r="B25">
        <v>44</v>
      </c>
      <c r="C25">
        <f ca="1">VLOOKUP(F25,[1]case!$A$2:$B$26,2,FALSE)</f>
        <v>1520</v>
      </c>
      <c r="D25">
        <f t="shared" ca="1" si="0"/>
        <v>62.51</v>
      </c>
      <c r="E25" s="2">
        <v>45985</v>
      </c>
      <c r="F25">
        <f t="shared" ca="1" si="1"/>
        <v>14</v>
      </c>
      <c r="G25" t="str">
        <f t="shared" ca="1" si="2"/>
        <v>(44, 1520, 62.51, '2025-11-24'),</v>
      </c>
    </row>
    <row r="26" spans="1:7" x14ac:dyDescent="0.25">
      <c r="A26">
        <v>25</v>
      </c>
      <c r="B26">
        <v>95</v>
      </c>
      <c r="C26">
        <f ca="1">VLOOKUP(F26,[1]case!$A$2:$B$26,2,FALSE)</f>
        <v>1362</v>
      </c>
      <c r="D26">
        <f t="shared" ca="1" si="0"/>
        <v>53.43</v>
      </c>
      <c r="E26" s="2">
        <v>45994</v>
      </c>
      <c r="F26">
        <f t="shared" ca="1" si="1"/>
        <v>25</v>
      </c>
      <c r="G26" t="str">
        <f t="shared" ca="1" si="2"/>
        <v>(95, 1362, 53.43, '2025-12-03'),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retainer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2026-03-18T12:30:37Z</dcterms:created>
  <dcterms:modified xsi:type="dcterms:W3CDTF">2026-03-19T01:42:24Z</dcterms:modified>
</cp:coreProperties>
</file>