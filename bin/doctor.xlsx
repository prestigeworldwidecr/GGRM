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g\GGRM\"/>
    </mc:Choice>
  </mc:AlternateContent>
  <bookViews>
    <workbookView xWindow="0" yWindow="0" windowWidth="20490" windowHeight="7755"/>
  </bookViews>
  <sheets>
    <sheet name="doctor" sheetId="1" r:id="rId1"/>
    <sheet name="speciality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" i="1" l="1"/>
  <c r="F3" i="1"/>
  <c r="E3" i="1" s="1"/>
  <c r="G3" i="1" s="1"/>
  <c r="F4" i="1"/>
  <c r="E4" i="1" s="1"/>
  <c r="G4" i="1" s="1"/>
  <c r="F5" i="1"/>
  <c r="E5" i="1" s="1"/>
  <c r="G5" i="1" s="1"/>
  <c r="F6" i="1"/>
  <c r="E6" i="1" s="1"/>
  <c r="G6" i="1" s="1"/>
  <c r="F7" i="1"/>
  <c r="E7" i="1" s="1"/>
  <c r="G7" i="1" s="1"/>
  <c r="F8" i="1"/>
  <c r="E8" i="1" s="1"/>
  <c r="G8" i="1" s="1"/>
  <c r="F9" i="1"/>
  <c r="E9" i="1" s="1"/>
  <c r="G9" i="1" s="1"/>
  <c r="F10" i="1"/>
  <c r="E10" i="1" s="1"/>
  <c r="G10" i="1" s="1"/>
  <c r="F11" i="1"/>
  <c r="E11" i="1" s="1"/>
  <c r="G11" i="1" s="1"/>
  <c r="F12" i="1"/>
  <c r="E12" i="1" s="1"/>
  <c r="G12" i="1" s="1"/>
  <c r="F13" i="1"/>
  <c r="E13" i="1" s="1"/>
  <c r="G13" i="1" s="1"/>
  <c r="F14" i="1"/>
  <c r="E14" i="1" s="1"/>
  <c r="G14" i="1" s="1"/>
  <c r="F15" i="1"/>
  <c r="E15" i="1" s="1"/>
  <c r="G15" i="1" s="1"/>
  <c r="F16" i="1"/>
  <c r="E16" i="1" s="1"/>
  <c r="G16" i="1" s="1"/>
  <c r="F17" i="1"/>
  <c r="E17" i="1" s="1"/>
  <c r="G17" i="1" s="1"/>
  <c r="F18" i="1"/>
  <c r="E18" i="1" s="1"/>
  <c r="G18" i="1" s="1"/>
  <c r="F19" i="1"/>
  <c r="E19" i="1" s="1"/>
  <c r="G19" i="1" s="1"/>
  <c r="F20" i="1"/>
  <c r="E20" i="1" s="1"/>
  <c r="G20" i="1" s="1"/>
  <c r="F21" i="1"/>
  <c r="E21" i="1" s="1"/>
  <c r="G21" i="1" s="1"/>
  <c r="F22" i="1"/>
  <c r="E22" i="1" s="1"/>
  <c r="G22" i="1" s="1"/>
  <c r="F23" i="1"/>
  <c r="E23" i="1" s="1"/>
  <c r="G23" i="1" s="1"/>
  <c r="F24" i="1"/>
  <c r="E24" i="1" s="1"/>
  <c r="G24" i="1" s="1"/>
  <c r="F25" i="1"/>
  <c r="E25" i="1" s="1"/>
  <c r="G25" i="1" s="1"/>
  <c r="F26" i="1"/>
  <c r="E26" i="1" s="1"/>
  <c r="G26" i="1" s="1"/>
  <c r="F2" i="1"/>
  <c r="E2" i="1" s="1"/>
  <c r="G2" i="1" s="1"/>
</calcChain>
</file>

<file path=xl/sharedStrings.xml><?xml version="1.0" encoding="utf-8"?>
<sst xmlns="http://schemas.openxmlformats.org/spreadsheetml/2006/main" count="62" uniqueCount="61">
  <si>
    <t>doctor_id</t>
  </si>
  <si>
    <t>first_name</t>
  </si>
  <si>
    <t>last_name</t>
  </si>
  <si>
    <t>specialty</t>
  </si>
  <si>
    <t>row_id</t>
  </si>
  <si>
    <t>Mannix</t>
  </si>
  <si>
    <t>Owen</t>
  </si>
  <si>
    <t>Kiara</t>
  </si>
  <si>
    <t>Ramos</t>
  </si>
  <si>
    <t>Cameran</t>
  </si>
  <si>
    <t>Howe</t>
  </si>
  <si>
    <t>Iris</t>
  </si>
  <si>
    <t>Burch</t>
  </si>
  <si>
    <t>Jeremy</t>
  </si>
  <si>
    <t>Le</t>
  </si>
  <si>
    <t>Logan</t>
  </si>
  <si>
    <t>Terry</t>
  </si>
  <si>
    <t>Martina</t>
  </si>
  <si>
    <t>Bender</t>
  </si>
  <si>
    <t>Grace</t>
  </si>
  <si>
    <t>Henry</t>
  </si>
  <si>
    <t>Beasley</t>
  </si>
  <si>
    <t>Tasha</t>
  </si>
  <si>
    <t>Dickson</t>
  </si>
  <si>
    <t>Clarke</t>
  </si>
  <si>
    <t>Montgomery</t>
  </si>
  <si>
    <t>Meghan</t>
  </si>
  <si>
    <t>Sanders</t>
  </si>
  <si>
    <t>Ramona</t>
  </si>
  <si>
    <t>Todd</t>
  </si>
  <si>
    <t>Knox</t>
  </si>
  <si>
    <t>Jefferson</t>
  </si>
  <si>
    <t>Jada</t>
  </si>
  <si>
    <t>Leblanc</t>
  </si>
  <si>
    <t>Nina</t>
  </si>
  <si>
    <t>Kerr</t>
  </si>
  <si>
    <t>Kylynn</t>
  </si>
  <si>
    <t>Elliott</t>
  </si>
  <si>
    <t>Alvin</t>
  </si>
  <si>
    <t>Wolf</t>
  </si>
  <si>
    <t>Tana</t>
  </si>
  <si>
    <t>Herrera</t>
  </si>
  <si>
    <t>Margaret</t>
  </si>
  <si>
    <t>Day</t>
  </si>
  <si>
    <t>Holmes</t>
  </si>
  <si>
    <t>Vincent</t>
  </si>
  <si>
    <t>Chester</t>
  </si>
  <si>
    <t>Rasmussen</t>
  </si>
  <si>
    <t>Graiden</t>
  </si>
  <si>
    <t>Reeves</t>
  </si>
  <si>
    <t>Walter</t>
  </si>
  <si>
    <t>Avila</t>
  </si>
  <si>
    <t>Tara</t>
  </si>
  <si>
    <t>Stafford</t>
  </si>
  <si>
    <t>specialty_id</t>
  </si>
  <si>
    <t>specialty_name</t>
  </si>
  <si>
    <t>Pediatrics</t>
  </si>
  <si>
    <t>Psychiatry</t>
  </si>
  <si>
    <t>Family Medicine</t>
  </si>
  <si>
    <t>Internal Medicine</t>
  </si>
  <si>
    <t>Obstetrics and Gynecology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</si>
</sst>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F1" sqref="F1"/>
    </sheetView>
  </sheetViews>
  <sheetFormatPr defaultRowHeight="15" x14ac:dyDescent="0.25"/>
  <cols>
    <col min="2" max="2" width="9.42578125" bestFit="1" customWidth="1"/>
    <col min="3" max="3" width="10.5703125" bestFit="1" customWidth="1"/>
    <col min="4" max="4" width="10.140625" bestFit="1" customWidth="1"/>
    <col min="5" max="5" width="24.85546875" bestFit="1" customWidth="1"/>
  </cols>
  <sheetData>
    <row r="1" spans="1:7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t="str">
        <f>CONCATENATE("(", B1,", ", C1,", ", D1, ", ", E1, ")")</f>
        <v>(doctor_id, first_name, last_name, specialty)</v>
      </c>
    </row>
    <row r="2" spans="1:7" x14ac:dyDescent="0.25">
      <c r="A2">
        <v>1</v>
      </c>
      <c r="B2">
        <v>1907</v>
      </c>
      <c r="C2" t="s">
        <v>5</v>
      </c>
      <c r="D2" t="s">
        <v>6</v>
      </c>
      <c r="E2" t="str">
        <f ca="1">VLOOKUP(F2,speciality!$A$2:$B$6,2,FALSE)</f>
        <v>Family Medicine</v>
      </c>
      <c r="F2">
        <f ca="1">ROUNDUP(RAND()*5,0)</f>
        <v>1</v>
      </c>
      <c r="G2" t="str">
        <f ca="1">CONCATENATE("(",B2,", ", CHAR(39), C2, CHAR(39), ", ", CHAR(39), D2, CHAR(39), ", ", CHAR(39),  E2, CHAR(39), "),")</f>
        <v>(1907, 'Mannix', 'Owen', 'Family Medicine'),</v>
      </c>
    </row>
    <row r="3" spans="1:7" x14ac:dyDescent="0.25">
      <c r="A3">
        <v>2</v>
      </c>
      <c r="B3">
        <v>1521</v>
      </c>
      <c r="C3" t="s">
        <v>7</v>
      </c>
      <c r="D3" t="s">
        <v>8</v>
      </c>
      <c r="E3" t="str">
        <f ca="1">VLOOKUP(F3,speciality!$A$2:$B$6,2,FALSE)</f>
        <v>Family Medicine</v>
      </c>
      <c r="F3">
        <f t="shared" ref="F3:F26" ca="1" si="0">ROUNDUP(RAND()*5,0)</f>
        <v>1</v>
      </c>
      <c r="G3" t="str">
        <f t="shared" ref="G3:G26" ca="1" si="1">CONCATENATE("(",B3,", ", CHAR(39), C3, CHAR(39), ", ", CHAR(39), D3, CHAR(39), ", ", CHAR(39),  E3, CHAR(39), "),")</f>
        <v>(1521, 'Kiara', 'Ramos', 'Family Medicine'),</v>
      </c>
    </row>
    <row r="4" spans="1:7" x14ac:dyDescent="0.25">
      <c r="A4">
        <v>3</v>
      </c>
      <c r="B4">
        <v>350</v>
      </c>
      <c r="C4" t="s">
        <v>9</v>
      </c>
      <c r="D4" t="s">
        <v>10</v>
      </c>
      <c r="E4" t="str">
        <f ca="1">VLOOKUP(F4,speciality!$A$2:$B$6,2,FALSE)</f>
        <v>Pediatrics</v>
      </c>
      <c r="F4">
        <f t="shared" ca="1" si="0"/>
        <v>3</v>
      </c>
      <c r="G4" t="str">
        <f t="shared" ca="1" si="1"/>
        <v>(350, 'Cameran', 'Howe', 'Pediatrics'),</v>
      </c>
    </row>
    <row r="5" spans="1:7" x14ac:dyDescent="0.25">
      <c r="A5">
        <v>4</v>
      </c>
      <c r="B5">
        <v>1050</v>
      </c>
      <c r="C5" t="s">
        <v>11</v>
      </c>
      <c r="D5" t="s">
        <v>12</v>
      </c>
      <c r="E5" t="str">
        <f ca="1">VLOOKUP(F5,speciality!$A$2:$B$6,2,FALSE)</f>
        <v>Obstetrics and Gynecology</v>
      </c>
      <c r="F5">
        <f t="shared" ca="1" si="0"/>
        <v>4</v>
      </c>
      <c r="G5" t="str">
        <f t="shared" ca="1" si="1"/>
        <v>(1050, 'Iris', 'Burch', 'Obstetrics and Gynecology'),</v>
      </c>
    </row>
    <row r="6" spans="1:7" x14ac:dyDescent="0.25">
      <c r="A6">
        <v>5</v>
      </c>
      <c r="B6">
        <v>854</v>
      </c>
      <c r="C6" t="s">
        <v>13</v>
      </c>
      <c r="D6" t="s">
        <v>14</v>
      </c>
      <c r="E6" t="str">
        <f ca="1">VLOOKUP(F6,speciality!$A$2:$B$6,2,FALSE)</f>
        <v>Obstetrics and Gynecology</v>
      </c>
      <c r="F6">
        <f t="shared" ca="1" si="0"/>
        <v>4</v>
      </c>
      <c r="G6" t="str">
        <f t="shared" ca="1" si="1"/>
        <v>(854, 'Jeremy', 'Le', 'Obstetrics and Gynecology'),</v>
      </c>
    </row>
    <row r="7" spans="1:7" x14ac:dyDescent="0.25">
      <c r="A7">
        <v>6</v>
      </c>
      <c r="B7">
        <v>1698</v>
      </c>
      <c r="C7" t="s">
        <v>15</v>
      </c>
      <c r="D7" t="s">
        <v>16</v>
      </c>
      <c r="E7" t="str">
        <f ca="1">VLOOKUP(F7,speciality!$A$2:$B$6,2,FALSE)</f>
        <v>Family Medicine</v>
      </c>
      <c r="F7">
        <f t="shared" ca="1" si="0"/>
        <v>1</v>
      </c>
      <c r="G7" t="str">
        <f t="shared" ca="1" si="1"/>
        <v>(1698, 'Logan', 'Terry', 'Family Medicine'),</v>
      </c>
    </row>
    <row r="8" spans="1:7" x14ac:dyDescent="0.25">
      <c r="A8">
        <v>7</v>
      </c>
      <c r="B8">
        <v>230</v>
      </c>
      <c r="C8" t="s">
        <v>17</v>
      </c>
      <c r="D8" t="s">
        <v>18</v>
      </c>
      <c r="E8" t="str">
        <f ca="1">VLOOKUP(F8,speciality!$A$2:$B$6,2,FALSE)</f>
        <v>Family Medicine</v>
      </c>
      <c r="F8">
        <f t="shared" ca="1" si="0"/>
        <v>1</v>
      </c>
      <c r="G8" t="str">
        <f t="shared" ca="1" si="1"/>
        <v>(230, 'Martina', 'Bender', 'Family Medicine'),</v>
      </c>
    </row>
    <row r="9" spans="1:7" x14ac:dyDescent="0.25">
      <c r="A9">
        <v>8</v>
      </c>
      <c r="B9">
        <v>1429</v>
      </c>
      <c r="C9" t="s">
        <v>19</v>
      </c>
      <c r="D9" t="s">
        <v>20</v>
      </c>
      <c r="E9" t="str">
        <f ca="1">VLOOKUP(F9,speciality!$A$2:$B$6,2,FALSE)</f>
        <v>Pediatrics</v>
      </c>
      <c r="F9">
        <f t="shared" ca="1" si="0"/>
        <v>3</v>
      </c>
      <c r="G9" t="str">
        <f t="shared" ca="1" si="1"/>
        <v>(1429, 'Grace', 'Henry', 'Pediatrics'),</v>
      </c>
    </row>
    <row r="10" spans="1:7" x14ac:dyDescent="0.25">
      <c r="A10">
        <v>9</v>
      </c>
      <c r="B10">
        <v>284</v>
      </c>
      <c r="C10" t="s">
        <v>11</v>
      </c>
      <c r="D10" t="s">
        <v>21</v>
      </c>
      <c r="E10" t="str">
        <f ca="1">VLOOKUP(F10,speciality!$A$2:$B$6,2,FALSE)</f>
        <v>Psychiatry</v>
      </c>
      <c r="F10">
        <f t="shared" ca="1" si="0"/>
        <v>5</v>
      </c>
      <c r="G10" t="str">
        <f t="shared" ca="1" si="1"/>
        <v>(284, 'Iris', 'Beasley', 'Psychiatry'),</v>
      </c>
    </row>
    <row r="11" spans="1:7" x14ac:dyDescent="0.25">
      <c r="A11">
        <v>10</v>
      </c>
      <c r="B11">
        <v>617</v>
      </c>
      <c r="C11" t="s">
        <v>22</v>
      </c>
      <c r="D11" t="s">
        <v>23</v>
      </c>
      <c r="E11" t="str">
        <f ca="1">VLOOKUP(F11,speciality!$A$2:$B$6,2,FALSE)</f>
        <v>Family Medicine</v>
      </c>
      <c r="F11">
        <f t="shared" ca="1" si="0"/>
        <v>1</v>
      </c>
      <c r="G11" t="str">
        <f t="shared" ca="1" si="1"/>
        <v>(617, 'Tasha', 'Dickson', 'Family Medicine'),</v>
      </c>
    </row>
    <row r="12" spans="1:7" x14ac:dyDescent="0.25">
      <c r="A12">
        <v>11</v>
      </c>
      <c r="B12">
        <v>542</v>
      </c>
      <c r="C12" t="s">
        <v>24</v>
      </c>
      <c r="D12" t="s">
        <v>25</v>
      </c>
      <c r="E12" t="str">
        <f ca="1">VLOOKUP(F12,speciality!$A$2:$B$6,2,FALSE)</f>
        <v>Pediatrics</v>
      </c>
      <c r="F12">
        <f t="shared" ca="1" si="0"/>
        <v>3</v>
      </c>
      <c r="G12" t="str">
        <f t="shared" ca="1" si="1"/>
        <v>(542, 'Clarke', 'Montgomery', 'Pediatrics'),</v>
      </c>
    </row>
    <row r="13" spans="1:7" x14ac:dyDescent="0.25">
      <c r="A13">
        <v>12</v>
      </c>
      <c r="B13">
        <v>863</v>
      </c>
      <c r="C13" t="s">
        <v>26</v>
      </c>
      <c r="D13" t="s">
        <v>27</v>
      </c>
      <c r="E13" t="str">
        <f ca="1">VLOOKUP(F13,speciality!$A$2:$B$6,2,FALSE)</f>
        <v>Family Medicine</v>
      </c>
      <c r="F13">
        <f t="shared" ca="1" si="0"/>
        <v>1</v>
      </c>
      <c r="G13" t="str">
        <f t="shared" ca="1" si="1"/>
        <v>(863, 'Meghan', 'Sanders', 'Family Medicine'),</v>
      </c>
    </row>
    <row r="14" spans="1:7" x14ac:dyDescent="0.25">
      <c r="A14">
        <v>13</v>
      </c>
      <c r="B14">
        <v>1165</v>
      </c>
      <c r="C14" t="s">
        <v>28</v>
      </c>
      <c r="D14" t="s">
        <v>29</v>
      </c>
      <c r="E14" t="str">
        <f ca="1">VLOOKUP(F14,speciality!$A$2:$B$6,2,FALSE)</f>
        <v>Psychiatry</v>
      </c>
      <c r="F14">
        <f t="shared" ca="1" si="0"/>
        <v>5</v>
      </c>
      <c r="G14" t="str">
        <f t="shared" ca="1" si="1"/>
        <v>(1165, 'Ramona', 'Todd', 'Psychiatry'),</v>
      </c>
    </row>
    <row r="15" spans="1:7" x14ac:dyDescent="0.25">
      <c r="A15">
        <v>14</v>
      </c>
      <c r="B15">
        <v>1625</v>
      </c>
      <c r="C15" t="s">
        <v>30</v>
      </c>
      <c r="D15" t="s">
        <v>31</v>
      </c>
      <c r="E15" t="str">
        <f ca="1">VLOOKUP(F15,speciality!$A$2:$B$6,2,FALSE)</f>
        <v>Family Medicine</v>
      </c>
      <c r="F15">
        <f t="shared" ca="1" si="0"/>
        <v>1</v>
      </c>
      <c r="G15" t="str">
        <f t="shared" ca="1" si="1"/>
        <v>(1625, 'Knox', 'Jefferson', 'Family Medicine'),</v>
      </c>
    </row>
    <row r="16" spans="1:7" x14ac:dyDescent="0.25">
      <c r="A16">
        <v>15</v>
      </c>
      <c r="B16">
        <v>470</v>
      </c>
      <c r="C16" t="s">
        <v>32</v>
      </c>
      <c r="D16" t="s">
        <v>33</v>
      </c>
      <c r="E16" t="str">
        <f ca="1">VLOOKUP(F16,speciality!$A$2:$B$6,2,FALSE)</f>
        <v>Internal Medicine</v>
      </c>
      <c r="F16">
        <f t="shared" ca="1" si="0"/>
        <v>2</v>
      </c>
      <c r="G16" t="str">
        <f t="shared" ca="1" si="1"/>
        <v>(470, 'Jada', 'Leblanc', 'Internal Medicine'),</v>
      </c>
    </row>
    <row r="17" spans="1:7" x14ac:dyDescent="0.25">
      <c r="A17">
        <v>16</v>
      </c>
      <c r="B17">
        <v>1819</v>
      </c>
      <c r="C17" t="s">
        <v>34</v>
      </c>
      <c r="D17" t="s">
        <v>35</v>
      </c>
      <c r="E17" t="str">
        <f ca="1">VLOOKUP(F17,speciality!$A$2:$B$6,2,FALSE)</f>
        <v>Psychiatry</v>
      </c>
      <c r="F17">
        <f t="shared" ca="1" si="0"/>
        <v>5</v>
      </c>
      <c r="G17" t="str">
        <f t="shared" ca="1" si="1"/>
        <v>(1819, 'Nina', 'Kerr', 'Psychiatry'),</v>
      </c>
    </row>
    <row r="18" spans="1:7" x14ac:dyDescent="0.25">
      <c r="A18">
        <v>17</v>
      </c>
      <c r="B18">
        <v>1110</v>
      </c>
      <c r="C18" t="s">
        <v>36</v>
      </c>
      <c r="D18" t="s">
        <v>37</v>
      </c>
      <c r="E18" t="str">
        <f ca="1">VLOOKUP(F18,speciality!$A$2:$B$6,2,FALSE)</f>
        <v>Obstetrics and Gynecology</v>
      </c>
      <c r="F18">
        <f t="shared" ca="1" si="0"/>
        <v>4</v>
      </c>
      <c r="G18" t="str">
        <f t="shared" ca="1" si="1"/>
        <v>(1110, 'Kylynn', 'Elliott', 'Obstetrics and Gynecology'),</v>
      </c>
    </row>
    <row r="19" spans="1:7" x14ac:dyDescent="0.25">
      <c r="A19">
        <v>18</v>
      </c>
      <c r="B19">
        <v>1169</v>
      </c>
      <c r="C19" t="s">
        <v>38</v>
      </c>
      <c r="D19" t="s">
        <v>39</v>
      </c>
      <c r="E19" t="str">
        <f ca="1">VLOOKUP(F19,speciality!$A$2:$B$6,2,FALSE)</f>
        <v>Family Medicine</v>
      </c>
      <c r="F19">
        <f t="shared" ca="1" si="0"/>
        <v>1</v>
      </c>
      <c r="G19" t="str">
        <f t="shared" ca="1" si="1"/>
        <v>(1169, 'Alvin', 'Wolf', 'Family Medicine'),</v>
      </c>
    </row>
    <row r="20" spans="1:7" x14ac:dyDescent="0.25">
      <c r="A20">
        <v>19</v>
      </c>
      <c r="B20">
        <v>1558</v>
      </c>
      <c r="C20" t="s">
        <v>40</v>
      </c>
      <c r="D20" t="s">
        <v>41</v>
      </c>
      <c r="E20" t="str">
        <f ca="1">VLOOKUP(F20,speciality!$A$2:$B$6,2,FALSE)</f>
        <v>Pediatrics</v>
      </c>
      <c r="F20">
        <f t="shared" ca="1" si="0"/>
        <v>3</v>
      </c>
      <c r="G20" t="str">
        <f t="shared" ca="1" si="1"/>
        <v>(1558, 'Tana', 'Herrera', 'Pediatrics'),</v>
      </c>
    </row>
    <row r="21" spans="1:7" x14ac:dyDescent="0.25">
      <c r="A21">
        <v>20</v>
      </c>
      <c r="B21">
        <v>191</v>
      </c>
      <c r="C21" t="s">
        <v>42</v>
      </c>
      <c r="D21" t="s">
        <v>43</v>
      </c>
      <c r="E21" t="str">
        <f ca="1">VLOOKUP(F21,speciality!$A$2:$B$6,2,FALSE)</f>
        <v>Family Medicine</v>
      </c>
      <c r="F21">
        <f t="shared" ca="1" si="0"/>
        <v>1</v>
      </c>
      <c r="G21" t="str">
        <f t="shared" ca="1" si="1"/>
        <v>(191, 'Margaret', 'Day', 'Family Medicine'),</v>
      </c>
    </row>
    <row r="22" spans="1:7" x14ac:dyDescent="0.25">
      <c r="A22">
        <v>21</v>
      </c>
      <c r="B22">
        <v>1</v>
      </c>
      <c r="C22" t="s">
        <v>44</v>
      </c>
      <c r="D22" t="s">
        <v>45</v>
      </c>
      <c r="E22" t="str">
        <f ca="1">VLOOKUP(F22,speciality!$A$2:$B$6,2,FALSE)</f>
        <v>Pediatrics</v>
      </c>
      <c r="F22">
        <f t="shared" ca="1" si="0"/>
        <v>3</v>
      </c>
      <c r="G22" t="str">
        <f t="shared" ca="1" si="1"/>
        <v>(1, 'Holmes', 'Vincent', 'Pediatrics'),</v>
      </c>
    </row>
    <row r="23" spans="1:7" x14ac:dyDescent="0.25">
      <c r="A23">
        <v>22</v>
      </c>
      <c r="B23">
        <v>56</v>
      </c>
      <c r="C23" t="s">
        <v>46</v>
      </c>
      <c r="D23" t="s">
        <v>47</v>
      </c>
      <c r="E23" t="str">
        <f ca="1">VLOOKUP(F23,speciality!$A$2:$B$6,2,FALSE)</f>
        <v>Obstetrics and Gynecology</v>
      </c>
      <c r="F23">
        <f t="shared" ca="1" si="0"/>
        <v>4</v>
      </c>
      <c r="G23" t="str">
        <f t="shared" ca="1" si="1"/>
        <v>(56, 'Chester', 'Rasmussen', 'Obstetrics and Gynecology'),</v>
      </c>
    </row>
    <row r="24" spans="1:7" x14ac:dyDescent="0.25">
      <c r="A24">
        <v>23</v>
      </c>
      <c r="B24">
        <v>1188</v>
      </c>
      <c r="C24" t="s">
        <v>48</v>
      </c>
      <c r="D24" t="s">
        <v>49</v>
      </c>
      <c r="E24" t="str">
        <f ca="1">VLOOKUP(F24,speciality!$A$2:$B$6,2,FALSE)</f>
        <v>Obstetrics and Gynecology</v>
      </c>
      <c r="F24">
        <f t="shared" ca="1" si="0"/>
        <v>4</v>
      </c>
      <c r="G24" t="str">
        <f t="shared" ca="1" si="1"/>
        <v>(1188, 'Graiden', 'Reeves', 'Obstetrics and Gynecology'),</v>
      </c>
    </row>
    <row r="25" spans="1:7" x14ac:dyDescent="0.25">
      <c r="A25">
        <v>24</v>
      </c>
      <c r="B25">
        <v>1953</v>
      </c>
      <c r="C25" t="s">
        <v>50</v>
      </c>
      <c r="D25" t="s">
        <v>51</v>
      </c>
      <c r="E25" t="str">
        <f ca="1">VLOOKUP(F25,speciality!$A$2:$B$6,2,FALSE)</f>
        <v>Pediatrics</v>
      </c>
      <c r="F25">
        <f t="shared" ca="1" si="0"/>
        <v>3</v>
      </c>
      <c r="G25" t="str">
        <f t="shared" ca="1" si="1"/>
        <v>(1953, 'Walter', 'Avila', 'Pediatrics'),</v>
      </c>
    </row>
    <row r="26" spans="1:7" x14ac:dyDescent="0.25">
      <c r="A26">
        <v>25</v>
      </c>
      <c r="B26">
        <v>377</v>
      </c>
      <c r="C26" t="s">
        <v>52</v>
      </c>
      <c r="D26" t="s">
        <v>53</v>
      </c>
      <c r="E26" t="str">
        <f ca="1">VLOOKUP(F26,speciality!$A$2:$B$6,2,FALSE)</f>
        <v>Pediatrics</v>
      </c>
      <c r="F26">
        <f t="shared" ca="1" si="0"/>
        <v>3</v>
      </c>
      <c r="G26" t="str">
        <f t="shared" ca="1" si="1"/>
        <v>(377, 'Tara', 'Stafford', 'Pediatrics'),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2" sqref="A2"/>
    </sheetView>
  </sheetViews>
  <sheetFormatPr defaultRowHeight="15" x14ac:dyDescent="0.25"/>
  <cols>
    <col min="1" max="1" width="11.5703125" bestFit="1" customWidth="1"/>
  </cols>
  <sheetData>
    <row r="1" spans="1:2" x14ac:dyDescent="0.25">
      <c r="A1" t="s">
        <v>54</v>
      </c>
      <c r="B1" t="s">
        <v>55</v>
      </c>
    </row>
    <row r="2" spans="1:2" x14ac:dyDescent="0.25">
      <c r="A2">
        <v>1</v>
      </c>
      <c r="B2" t="s">
        <v>58</v>
      </c>
    </row>
    <row r="3" spans="1:2" x14ac:dyDescent="0.25">
      <c r="A3">
        <v>2</v>
      </c>
      <c r="B3" t="s">
        <v>59</v>
      </c>
    </row>
    <row r="4" spans="1:2" x14ac:dyDescent="0.25">
      <c r="A4">
        <v>3</v>
      </c>
      <c r="B4" t="s">
        <v>56</v>
      </c>
    </row>
    <row r="5" spans="1:2" x14ac:dyDescent="0.25">
      <c r="A5">
        <v>4</v>
      </c>
      <c r="B5" t="s">
        <v>60</v>
      </c>
    </row>
    <row r="6" spans="1:2" x14ac:dyDescent="0.25">
      <c r="A6">
        <v>5</v>
      </c>
      <c r="B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doctor</vt:lpstr>
      <vt:lpstr>speciality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2026-03-18T12:03:39Z</dcterms:created>
  <dcterms:modified xsi:type="dcterms:W3CDTF">2026-03-18T14:52:27Z</dcterms:modified>
</cp:coreProperties>
</file>